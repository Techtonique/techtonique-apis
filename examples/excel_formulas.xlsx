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/Documents/Python_Packages/techtonique-apis/examples/"/>
    </mc:Choice>
  </mc:AlternateContent>
  <xr:revisionPtr revIDLastSave="0" documentId="13_ncr:1_{8756B8CE-30B8-B74A-88B5-CD8467049615}" xr6:coauthVersionLast="47" xr6:coauthVersionMax="47" xr10:uidLastSave="{00000000-0000-0000-0000-000000000000}"/>
  <bookViews>
    <workbookView xWindow="80" yWindow="500" windowWidth="25440" windowHeight="14680" activeTab="2" xr2:uid="{866FC63A-F4EA-0B48-8E6B-E2860E222B05}"/>
  </bookViews>
  <sheets>
    <sheet name="scenario simulation" sheetId="7" r:id="rId1"/>
    <sheet name="survival" sheetId="6" r:id="rId2"/>
    <sheet name="univariate forecasting" sheetId="1" r:id="rId3"/>
    <sheet name="multivariate forecasting" sheetId="2" r:id="rId4"/>
    <sheet name="mlregression" sheetId="4" r:id="rId5"/>
    <sheet name="mlcassification" sheetId="3" r:id="rId6"/>
    <sheet name="reserving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Q2" i="6" a="1"/>
  <c r="Q2" i="6" s="1"/>
  <c r="E2" i="2" a="1"/>
  <c r="E2" i="2" s="1"/>
  <c r="I2" i="3" a="1"/>
  <c r="I2" i="3" s="1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3" i="3"/>
  <c r="P3" i="3" s="1"/>
  <c r="N2" i="3" a="1"/>
  <c r="N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2" i="3"/>
  <c r="J2" i="3" a="1"/>
  <c r="J2" i="3" s="1"/>
  <c r="O2" i="4" a="1"/>
  <c r="O2" i="4" s="1"/>
  <c r="N2" i="4" a="1"/>
  <c r="N2" i="4" s="1"/>
  <c r="H2" i="5" a="1"/>
  <c r="H2" i="5" s="1"/>
  <c r="E2" i="5" a="1"/>
  <c r="E2" i="5" s="1"/>
  <c r="D2" i="1" a="1"/>
  <c r="D2" i="1" s="1"/>
  <c r="B25" i="7" a="1"/>
  <c r="B25" i="7" s="1"/>
  <c r="B3" i="7" a="1"/>
  <c r="B3" i="7" s="1"/>
  <c r="E29" i="2" a="1"/>
  <c r="E29" i="2" s="1"/>
  <c r="E20" i="2" a="1"/>
  <c r="E20" i="2" s="1"/>
  <c r="E11" i="2" a="1"/>
  <c r="E11" i="2" s="1"/>
  <c r="P2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<sst xmlns="http://schemas.openxmlformats.org/spreadsheetml/2006/main" count="5028" uniqueCount="1187">
  <si>
    <t>date</t>
  </si>
  <si>
    <t>value</t>
  </si>
  <si>
    <t>9007.0</t>
  </si>
  <si>
    <t>8106.0</t>
  </si>
  <si>
    <t>8928.0</t>
  </si>
  <si>
    <t>9137.0</t>
  </si>
  <si>
    <t>10017.0</t>
  </si>
  <si>
    <t>10826.0</t>
  </si>
  <si>
    <t>11317.0</t>
  </si>
  <si>
    <t>10744.0</t>
  </si>
  <si>
    <t>9713.0</t>
  </si>
  <si>
    <t>9938.0</t>
  </si>
  <si>
    <t>9161.0</t>
  </si>
  <si>
    <t>8927.0</t>
  </si>
  <si>
    <t>7750.0</t>
  </si>
  <si>
    <t>6981.0</t>
  </si>
  <si>
    <t>8038.0</t>
  </si>
  <si>
    <t>8422.0</t>
  </si>
  <si>
    <t>8714.0</t>
  </si>
  <si>
    <t>9512.0</t>
  </si>
  <si>
    <t>10120.0</t>
  </si>
  <si>
    <t>9823.0</t>
  </si>
  <si>
    <t>8743.0</t>
  </si>
  <si>
    <t>9129.0</t>
  </si>
  <si>
    <t>8710.0</t>
  </si>
  <si>
    <t>8680.0</t>
  </si>
  <si>
    <t>8162.0</t>
  </si>
  <si>
    <t>7306.0</t>
  </si>
  <si>
    <t>8124.0</t>
  </si>
  <si>
    <t>7870.0</t>
  </si>
  <si>
    <t>9387.0</t>
  </si>
  <si>
    <t>9556.0</t>
  </si>
  <si>
    <t>10093.0</t>
  </si>
  <si>
    <t>9620.0</t>
  </si>
  <si>
    <t>8285.0</t>
  </si>
  <si>
    <t>8466.0</t>
  </si>
  <si>
    <t>8160.0</t>
  </si>
  <si>
    <t>8034.0</t>
  </si>
  <si>
    <t>7717.0</t>
  </si>
  <si>
    <t>7461.0</t>
  </si>
  <si>
    <t>7767.0</t>
  </si>
  <si>
    <t>7925.0</t>
  </si>
  <si>
    <t>8623.0</t>
  </si>
  <si>
    <t>8945.0</t>
  </si>
  <si>
    <t>10078.0</t>
  </si>
  <si>
    <t>9179.0</t>
  </si>
  <si>
    <t>8037.0</t>
  </si>
  <si>
    <t>8488.0</t>
  </si>
  <si>
    <t>7874.0</t>
  </si>
  <si>
    <t>8647.0</t>
  </si>
  <si>
    <t>7792.0</t>
  </si>
  <si>
    <t>6957.0</t>
  </si>
  <si>
    <t>7726.0</t>
  </si>
  <si>
    <t>8890.0</t>
  </si>
  <si>
    <t>9299.0</t>
  </si>
  <si>
    <t>10625.0</t>
  </si>
  <si>
    <t>9302.0</t>
  </si>
  <si>
    <t>8314.0</t>
  </si>
  <si>
    <t>8850.0</t>
  </si>
  <si>
    <t>8265.0</t>
  </si>
  <si>
    <t>8796.0</t>
  </si>
  <si>
    <t>7836.0</t>
  </si>
  <si>
    <t>6892.0</t>
  </si>
  <si>
    <t>7791.0</t>
  </si>
  <si>
    <t>8192.0</t>
  </si>
  <si>
    <t>9115.0</t>
  </si>
  <si>
    <t>9434.0</t>
  </si>
  <si>
    <t>10484.0</t>
  </si>
  <si>
    <t>9827.0</t>
  </si>
  <si>
    <t>9110.0</t>
  </si>
  <si>
    <t>9070.0</t>
  </si>
  <si>
    <t>8633.0</t>
  </si>
  <si>
    <t>9240.0</t>
  </si>
  <si>
    <t>heater</t>
  </si>
  <si>
    <t>icecream</t>
  </si>
  <si>
    <t>target</t>
  </si>
  <si>
    <t>training_index</t>
  </si>
  <si>
    <t>127.0</t>
  </si>
  <si>
    <t>2.8</t>
  </si>
  <si>
    <t>3.92</t>
  </si>
  <si>
    <t>2.14</t>
  </si>
  <si>
    <t>100.0</t>
  </si>
  <si>
    <t>2.76</t>
  </si>
  <si>
    <t>3.4</t>
  </si>
  <si>
    <t>18.6</t>
  </si>
  <si>
    <t>101.0</t>
  </si>
  <si>
    <t>0.3</t>
  </si>
  <si>
    <t>3.17</t>
  </si>
  <si>
    <t>1185.0</t>
  </si>
  <si>
    <t>2.5</t>
  </si>
  <si>
    <t>113.0</t>
  </si>
  <si>
    <t>3.85</t>
  </si>
  <si>
    <t>21.0</t>
  </si>
  <si>
    <t>118.0</t>
  </si>
  <si>
    <t>2.93</t>
  </si>
  <si>
    <t>15.2</t>
  </si>
  <si>
    <t>112.0</t>
  </si>
  <si>
    <t>14.6</t>
  </si>
  <si>
    <t>96.0</t>
  </si>
  <si>
    <t>5.25</t>
  </si>
  <si>
    <t>17.6</t>
  </si>
  <si>
    <t>121.0</t>
  </si>
  <si>
    <t>2.6</t>
  </si>
  <si>
    <t>14.0</t>
  </si>
  <si>
    <t>97.0</t>
  </si>
  <si>
    <t>5.2</t>
  </si>
  <si>
    <t>16.0</t>
  </si>
  <si>
    <t>98.0</t>
  </si>
  <si>
    <t>3.15</t>
  </si>
  <si>
    <t>2.3</t>
  </si>
  <si>
    <t>18.0</t>
  </si>
  <si>
    <t>105.0</t>
  </si>
  <si>
    <t>2.32</t>
  </si>
  <si>
    <t>95.0</t>
  </si>
  <si>
    <t>2.2</t>
  </si>
  <si>
    <t>5.0</t>
  </si>
  <si>
    <t>1280.0</t>
  </si>
  <si>
    <t>89.0</t>
  </si>
  <si>
    <t>5.6</t>
  </si>
  <si>
    <t>2.9</t>
  </si>
  <si>
    <t>91.0</t>
  </si>
  <si>
    <t>3.1</t>
  </si>
  <si>
    <t>3.69</t>
  </si>
  <si>
    <t>5.4</t>
  </si>
  <si>
    <t>1150.0</t>
  </si>
  <si>
    <t>12.0</t>
  </si>
  <si>
    <t>102.0</t>
  </si>
  <si>
    <t>3.3</t>
  </si>
  <si>
    <t>1.2</t>
  </si>
  <si>
    <t>3.0</t>
  </si>
  <si>
    <t>2.7</t>
  </si>
  <si>
    <t>7.3</t>
  </si>
  <si>
    <t>14.3</t>
  </si>
  <si>
    <t>20.0</t>
  </si>
  <si>
    <t>120.0</t>
  </si>
  <si>
    <t>6.2</t>
  </si>
  <si>
    <t>2.62</t>
  </si>
  <si>
    <t>115.0</t>
  </si>
  <si>
    <t>0.4</t>
  </si>
  <si>
    <t>6.6</t>
  </si>
  <si>
    <t>108.0</t>
  </si>
  <si>
    <t>1680.0</t>
  </si>
  <si>
    <t>116.0</t>
  </si>
  <si>
    <t>5.1</t>
  </si>
  <si>
    <t>845.0</t>
  </si>
  <si>
    <t>126.0</t>
  </si>
  <si>
    <t>2.1</t>
  </si>
  <si>
    <t>3.8</t>
  </si>
  <si>
    <t>4.5</t>
  </si>
  <si>
    <t>3.52</t>
  </si>
  <si>
    <t>770.0</t>
  </si>
  <si>
    <t>4.0</t>
  </si>
  <si>
    <t>1.6</t>
  </si>
  <si>
    <t>17.8</t>
  </si>
  <si>
    <t>25.0</t>
  </si>
  <si>
    <t>124.0</t>
  </si>
  <si>
    <t>3.2</t>
  </si>
  <si>
    <t>93.0</t>
  </si>
  <si>
    <t>4.8</t>
  </si>
  <si>
    <t>1195.0</t>
  </si>
  <si>
    <t>13.3</t>
  </si>
  <si>
    <t>17.0</t>
  </si>
  <si>
    <t>94.0</t>
  </si>
  <si>
    <t>2.4</t>
  </si>
  <si>
    <t>2.77</t>
  </si>
  <si>
    <t>1.9</t>
  </si>
  <si>
    <t>107.0</t>
  </si>
  <si>
    <t>4.7</t>
  </si>
  <si>
    <t>1.5</t>
  </si>
  <si>
    <t>5.7</t>
  </si>
  <si>
    <t>106.0</t>
  </si>
  <si>
    <t>3.19</t>
  </si>
  <si>
    <t>6.9</t>
  </si>
  <si>
    <t>104.0</t>
  </si>
  <si>
    <t>3.84</t>
  </si>
  <si>
    <t>132.0</t>
  </si>
  <si>
    <t>0.5</t>
  </si>
  <si>
    <t>1.8</t>
  </si>
  <si>
    <t>19.0</t>
  </si>
  <si>
    <t>110.0</t>
  </si>
  <si>
    <t>4.2</t>
  </si>
  <si>
    <t>1.1</t>
  </si>
  <si>
    <t>1095.0</t>
  </si>
  <si>
    <t>15.5</t>
  </si>
  <si>
    <t>4.6</t>
  </si>
  <si>
    <t>2.78</t>
  </si>
  <si>
    <t>1105.0</t>
  </si>
  <si>
    <t>3.7</t>
  </si>
  <si>
    <t>128.0</t>
  </si>
  <si>
    <t>0.2</t>
  </si>
  <si>
    <t>117.0</t>
  </si>
  <si>
    <t>795.0</t>
  </si>
  <si>
    <t>90.0</t>
  </si>
  <si>
    <t>15.0</t>
  </si>
  <si>
    <t>1.7</t>
  </si>
  <si>
    <t>103.0</t>
  </si>
  <si>
    <t>680.0</t>
  </si>
  <si>
    <t>18.9</t>
  </si>
  <si>
    <t>111.0</t>
  </si>
  <si>
    <t>1080.0</t>
  </si>
  <si>
    <t>4.9</t>
  </si>
  <si>
    <t>3.44</t>
  </si>
  <si>
    <t>6.1</t>
  </si>
  <si>
    <t>1060.0</t>
  </si>
  <si>
    <t>17.4</t>
  </si>
  <si>
    <t>3.54</t>
  </si>
  <si>
    <t>92.0</t>
  </si>
  <si>
    <t>7.2</t>
  </si>
  <si>
    <t>6.3</t>
  </si>
  <si>
    <t>16.4</t>
  </si>
  <si>
    <t>1120.0</t>
  </si>
  <si>
    <t>970.0</t>
  </si>
  <si>
    <t>3.23</t>
  </si>
  <si>
    <t>6.0</t>
  </si>
  <si>
    <t>16.7</t>
  </si>
  <si>
    <t>6.8</t>
  </si>
  <si>
    <t>88.0</t>
  </si>
  <si>
    <t>87.0</t>
  </si>
  <si>
    <t>3.5</t>
  </si>
  <si>
    <t>420.0</t>
  </si>
  <si>
    <t>18.1</t>
  </si>
  <si>
    <t>78.0</t>
  </si>
  <si>
    <t>5.3</t>
  </si>
  <si>
    <t>502.0</t>
  </si>
  <si>
    <t>2.0</t>
  </si>
  <si>
    <t>1.3</t>
  </si>
  <si>
    <t>151.0</t>
  </si>
  <si>
    <t>3.07</t>
  </si>
  <si>
    <t>870.0</t>
  </si>
  <si>
    <t>86.0</t>
  </si>
  <si>
    <t>410.0</t>
  </si>
  <si>
    <t>24.0</t>
  </si>
  <si>
    <t>472.0</t>
  </si>
  <si>
    <t>30.0</t>
  </si>
  <si>
    <t>139.0</t>
  </si>
  <si>
    <t>3.21</t>
  </si>
  <si>
    <t>392.0</t>
  </si>
  <si>
    <t>500.0</t>
  </si>
  <si>
    <t>136.0</t>
  </si>
  <si>
    <t>23.0</t>
  </si>
  <si>
    <t>463.0</t>
  </si>
  <si>
    <t>3.9</t>
  </si>
  <si>
    <t>714.0</t>
  </si>
  <si>
    <t>1.4</t>
  </si>
  <si>
    <t>85.0</t>
  </si>
  <si>
    <t>515.0</t>
  </si>
  <si>
    <t>3.08</t>
  </si>
  <si>
    <t>99.0</t>
  </si>
  <si>
    <t>22.8</t>
  </si>
  <si>
    <t>495.0</t>
  </si>
  <si>
    <t>26.0</t>
  </si>
  <si>
    <t>84.0</t>
  </si>
  <si>
    <t>1.0</t>
  </si>
  <si>
    <t>70.0</t>
  </si>
  <si>
    <t>81.0</t>
  </si>
  <si>
    <t>22.0</t>
  </si>
  <si>
    <t>3.6</t>
  </si>
  <si>
    <t>80.0</t>
  </si>
  <si>
    <t>345.0</t>
  </si>
  <si>
    <t>162.0</t>
  </si>
  <si>
    <t>21.5</t>
  </si>
  <si>
    <t>134.0</t>
  </si>
  <si>
    <t>406.0</t>
  </si>
  <si>
    <t>438.0</t>
  </si>
  <si>
    <t>415.0</t>
  </si>
  <si>
    <t>3.57</t>
  </si>
  <si>
    <t>315.0</t>
  </si>
  <si>
    <t>488.0</t>
  </si>
  <si>
    <t>312.0</t>
  </si>
  <si>
    <t>325.0</t>
  </si>
  <si>
    <t>0.6</t>
  </si>
  <si>
    <t>385.0</t>
  </si>
  <si>
    <t>372.0</t>
  </si>
  <si>
    <t>564.0</t>
  </si>
  <si>
    <t>119.0</t>
  </si>
  <si>
    <t>465.0</t>
  </si>
  <si>
    <t>4.43</t>
  </si>
  <si>
    <t>365.0</t>
  </si>
  <si>
    <t>5.8</t>
  </si>
  <si>
    <t>82.0</t>
  </si>
  <si>
    <t>378.0</t>
  </si>
  <si>
    <t>4.3</t>
  </si>
  <si>
    <t>122.0</t>
  </si>
  <si>
    <t>4.1</t>
  </si>
  <si>
    <t>530.0</t>
  </si>
  <si>
    <t>600.0</t>
  </si>
  <si>
    <t>650.0</t>
  </si>
  <si>
    <t>7.1</t>
  </si>
  <si>
    <t>695.0</t>
  </si>
  <si>
    <t>4.4</t>
  </si>
  <si>
    <t>550.0</t>
  </si>
  <si>
    <t>855.0</t>
  </si>
  <si>
    <t>675.0</t>
  </si>
  <si>
    <t>7.6</t>
  </si>
  <si>
    <t>7.9</t>
  </si>
  <si>
    <t>27.0</t>
  </si>
  <si>
    <t>13.0</t>
  </si>
  <si>
    <t>570.0</t>
  </si>
  <si>
    <t>615.0</t>
  </si>
  <si>
    <t>5.5</t>
  </si>
  <si>
    <t>7.7</t>
  </si>
  <si>
    <t>740.0</t>
  </si>
  <si>
    <t>sepal length (cm)</t>
  </si>
  <si>
    <t>sepal width (cm)</t>
  </si>
  <si>
    <t>petal length (cm)</t>
  </si>
  <si>
    <t>petal width (cm)</t>
  </si>
  <si>
    <t>0.1</t>
  </si>
  <si>
    <t>7.0</t>
  </si>
  <si>
    <t>6.4</t>
  </si>
  <si>
    <t>6.5</t>
  </si>
  <si>
    <t>5.9</t>
  </si>
  <si>
    <t>6.7</t>
  </si>
  <si>
    <t>7.4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</si>
  <si>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</si>
  <si>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</si>
  <si>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</si>
  <si>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</si>
  <si>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</si>
  <si>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</si>
  <si>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</si>
  <si>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</si>
  <si>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</si>
  <si>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</si>
  <si>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16.46</t>
  </si>
  <si>
    <t>2.875</t>
  </si>
  <si>
    <t>17.02</t>
  </si>
  <si>
    <t>18.61</t>
  </si>
  <si>
    <t>21.4</t>
  </si>
  <si>
    <t>3.215</t>
  </si>
  <si>
    <t>19.44</t>
  </si>
  <si>
    <t>18.7</t>
  </si>
  <si>
    <t>3.46</t>
  </si>
  <si>
    <t>20.22</t>
  </si>
  <si>
    <t>15.84</t>
  </si>
  <si>
    <t>24.4</t>
  </si>
  <si>
    <t>146.7</t>
  </si>
  <si>
    <t>140.8</t>
  </si>
  <si>
    <t>22.9</t>
  </si>
  <si>
    <t>19.2</t>
  </si>
  <si>
    <t>167.6</t>
  </si>
  <si>
    <t>18.3</t>
  </si>
  <si>
    <t>275.8</t>
  </si>
  <si>
    <t>4.07</t>
  </si>
  <si>
    <t>17.3</t>
  </si>
  <si>
    <t>3.73</t>
  </si>
  <si>
    <t>3.78</t>
  </si>
  <si>
    <t>10.4</t>
  </si>
  <si>
    <t>17.98</t>
  </si>
  <si>
    <t>5.424</t>
  </si>
  <si>
    <t>17.82</t>
  </si>
  <si>
    <t>14.7</t>
  </si>
  <si>
    <t>5.345</t>
  </si>
  <si>
    <t>17.42</t>
  </si>
  <si>
    <t>32.4</t>
  </si>
  <si>
    <t>78.7</t>
  </si>
  <si>
    <t>4.08</t>
  </si>
  <si>
    <t>19.47</t>
  </si>
  <si>
    <t>30.4</t>
  </si>
  <si>
    <t>75.7</t>
  </si>
  <si>
    <t>4.93</t>
  </si>
  <si>
    <t>1.615</t>
  </si>
  <si>
    <t>18.52</t>
  </si>
  <si>
    <t>33.9</t>
  </si>
  <si>
    <t>71.1</t>
  </si>
  <si>
    <t>4.22</t>
  </si>
  <si>
    <t>1.835</t>
  </si>
  <si>
    <t>19.9</t>
  </si>
  <si>
    <t>120.1</t>
  </si>
  <si>
    <t>2.465</t>
  </si>
  <si>
    <t>20.01</t>
  </si>
  <si>
    <t>16.87</t>
  </si>
  <si>
    <t>3.435</t>
  </si>
  <si>
    <t>15.41</t>
  </si>
  <si>
    <t>3.845</t>
  </si>
  <si>
    <t>17.05</t>
  </si>
  <si>
    <t>27.3</t>
  </si>
  <si>
    <t>1.935</t>
  </si>
  <si>
    <t>120.3</t>
  </si>
  <si>
    <t>95.1</t>
  </si>
  <si>
    <t>3.77</t>
  </si>
  <si>
    <t>1.513</t>
  </si>
  <si>
    <t>16.9</t>
  </si>
  <si>
    <t>15.8</t>
  </si>
  <si>
    <t>14.5</t>
  </si>
  <si>
    <t>19.7</t>
  </si>
  <si>
    <t>3.62</t>
  </si>
  <si>
    <t>4.11</t>
  </si>
  <si>
    <t>development</t>
  </si>
  <si>
    <t>origin</t>
  </si>
  <si>
    <t>values</t>
  </si>
  <si>
    <t>5012.0</t>
  </si>
  <si>
    <t>3410.0</t>
  </si>
  <si>
    <t>5655.0</t>
  </si>
  <si>
    <t>1092.0</t>
  </si>
  <si>
    <t>1513.0</t>
  </si>
  <si>
    <t>557.0</t>
  </si>
  <si>
    <t>1351.0</t>
  </si>
  <si>
    <t>3133.0</t>
  </si>
  <si>
    <t>2063.0</t>
  </si>
  <si>
    <t>8269.0</t>
  </si>
  <si>
    <t>4285.0</t>
  </si>
  <si>
    <t>8992.0</t>
  </si>
  <si>
    <t>11555.0</t>
  </si>
  <si>
    <t>9565.0</t>
  </si>
  <si>
    <t>6445.0</t>
  </si>
  <si>
    <t>4020.0</t>
  </si>
  <si>
    <t>6947.0</t>
  </si>
  <si>
    <t>5395.0</t>
  </si>
  <si>
    <t>10907.0</t>
  </si>
  <si>
    <t>5396.0</t>
  </si>
  <si>
    <t>13873.0</t>
  </si>
  <si>
    <t>15766.0</t>
  </si>
  <si>
    <t>15836.0</t>
  </si>
  <si>
    <t>11702.0</t>
  </si>
  <si>
    <t>10946.0</t>
  </si>
  <si>
    <t>13112.0</t>
  </si>
  <si>
    <t>11805.0</t>
  </si>
  <si>
    <t>10666.0</t>
  </si>
  <si>
    <t>16141.0</t>
  </si>
  <si>
    <t>21266.0</t>
  </si>
  <si>
    <t>22169.0</t>
  </si>
  <si>
    <t>12935.0</t>
  </si>
  <si>
    <t>12314.0</t>
  </si>
  <si>
    <t>13539.0</t>
  </si>
  <si>
    <t>13782.0</t>
  </si>
  <si>
    <t>18735.0</t>
  </si>
  <si>
    <t>23425.0</t>
  </si>
  <si>
    <t>25955.0</t>
  </si>
  <si>
    <t>15852.0</t>
  </si>
  <si>
    <t>16181.0</t>
  </si>
  <si>
    <t>15599.0</t>
  </si>
  <si>
    <t>22214.0</t>
  </si>
  <si>
    <t>26083.0</t>
  </si>
  <si>
    <t>26180.0</t>
  </si>
  <si>
    <t>18009.0</t>
  </si>
  <si>
    <t>15496.0</t>
  </si>
  <si>
    <t>22863.0</t>
  </si>
  <si>
    <t>27067.0</t>
  </si>
  <si>
    <t>18608.0</t>
  </si>
  <si>
    <t>16169.0</t>
  </si>
  <si>
    <t>23466.0</t>
  </si>
  <si>
    <t>18662.0</t>
  </si>
  <si>
    <t>16704.0</t>
  </si>
  <si>
    <t>18834.0</t>
  </si>
  <si>
    <t>time</t>
  </si>
  <si>
    <t>status</t>
  </si>
  <si>
    <t>age</t>
  </si>
  <si>
    <t>estrec</t>
  </si>
  <si>
    <t>pnodes</t>
  </si>
  <si>
    <t>progrec</t>
  </si>
  <si>
    <t>tsize</t>
  </si>
  <si>
    <t>horTh_no</t>
  </si>
  <si>
    <t>horTh_yes</t>
  </si>
  <si>
    <t>menostat_Pre</t>
  </si>
  <si>
    <t>menostat_Post</t>
  </si>
  <si>
    <t>tgrade_I</t>
  </si>
  <si>
    <t>tgrade_II</t>
  </si>
  <si>
    <t>tgrade_III</t>
  </si>
  <si>
    <t>49.0</t>
  </si>
  <si>
    <t>177.0</t>
  </si>
  <si>
    <t>40.0</t>
  </si>
  <si>
    <t>2227.0</t>
  </si>
  <si>
    <t>64.0</t>
  </si>
  <si>
    <t>304.0</t>
  </si>
  <si>
    <t>206.0</t>
  </si>
  <si>
    <t>1218.0</t>
  </si>
  <si>
    <t>44.0</t>
  </si>
  <si>
    <t>338.0</t>
  </si>
  <si>
    <t>46.0</t>
  </si>
  <si>
    <t>0.0</t>
  </si>
  <si>
    <t>1693.0</t>
  </si>
  <si>
    <t>62.0</t>
  </si>
  <si>
    <t>436.0</t>
  </si>
  <si>
    <t>67.0</t>
  </si>
  <si>
    <t>257.0</t>
  </si>
  <si>
    <t>208.0</t>
  </si>
  <si>
    <t>368.0</t>
  </si>
  <si>
    <t>65.0</t>
  </si>
  <si>
    <t>1483.0</t>
  </si>
  <si>
    <t>71.0</t>
  </si>
  <si>
    <t>340.0</t>
  </si>
  <si>
    <t>2009.0</t>
  </si>
  <si>
    <t>50.0</t>
  </si>
  <si>
    <t>29.0</t>
  </si>
  <si>
    <t>8.0</t>
  </si>
  <si>
    <t>31.0</t>
  </si>
  <si>
    <t>386.0</t>
  </si>
  <si>
    <t>637.0</t>
  </si>
  <si>
    <t>69.0</t>
  </si>
  <si>
    <t>196.0</t>
  </si>
  <si>
    <t>131.0</t>
  </si>
  <si>
    <t>1781.0</t>
  </si>
  <si>
    <t>48.0</t>
  </si>
  <si>
    <t>35.0</t>
  </si>
  <si>
    <t>1578.0</t>
  </si>
  <si>
    <t>63.0</t>
  </si>
  <si>
    <t>221.0</t>
  </si>
  <si>
    <t>144.0</t>
  </si>
  <si>
    <t>1645.0</t>
  </si>
  <si>
    <t>34.0</t>
  </si>
  <si>
    <t>37.0</t>
  </si>
  <si>
    <t>1108.0</t>
  </si>
  <si>
    <t>42.0</t>
  </si>
  <si>
    <t>10.0</t>
  </si>
  <si>
    <t>256.0</t>
  </si>
  <si>
    <t>285.0</t>
  </si>
  <si>
    <t>1666.0</t>
  </si>
  <si>
    <t>348.0</t>
  </si>
  <si>
    <t>730.0</t>
  </si>
  <si>
    <t>135.0</t>
  </si>
  <si>
    <t>857.0</t>
  </si>
  <si>
    <t>32.0</t>
  </si>
  <si>
    <t>36.0</t>
  </si>
  <si>
    <t>1570.0</t>
  </si>
  <si>
    <t>43.0</t>
  </si>
  <si>
    <t>2563.0</t>
  </si>
  <si>
    <t>745.0</t>
  </si>
  <si>
    <t>52.0</t>
  </si>
  <si>
    <t>969.0</t>
  </si>
  <si>
    <t>53.0</t>
  </si>
  <si>
    <t>534.0</t>
  </si>
  <si>
    <t>74.0</t>
  </si>
  <si>
    <t>2192.0</t>
  </si>
  <si>
    <t>54.0</t>
  </si>
  <si>
    <t>498.0</t>
  </si>
  <si>
    <t>566.0</t>
  </si>
  <si>
    <t>51.0</t>
  </si>
  <si>
    <t>1720.0</t>
  </si>
  <si>
    <t>9.0</t>
  </si>
  <si>
    <t>2205.0</t>
  </si>
  <si>
    <t>47.0</t>
  </si>
  <si>
    <t>28.0</t>
  </si>
  <si>
    <t>995.0</t>
  </si>
  <si>
    <t>75.0</t>
  </si>
  <si>
    <t>58.0</t>
  </si>
  <si>
    <t>1078.0</t>
  </si>
  <si>
    <t>45.0</t>
  </si>
  <si>
    <t>195.0</t>
  </si>
  <si>
    <t>2556.0</t>
  </si>
  <si>
    <t>227.0</t>
  </si>
  <si>
    <t>1329.0</t>
  </si>
  <si>
    <t>57.0</t>
  </si>
  <si>
    <t>145.0</t>
  </si>
  <si>
    <t>213.0</t>
  </si>
  <si>
    <t>77.0</t>
  </si>
  <si>
    <t>178.0</t>
  </si>
  <si>
    <t>2320.0</t>
  </si>
  <si>
    <t>422.0</t>
  </si>
  <si>
    <t>1279.0</t>
  </si>
  <si>
    <t>628.0</t>
  </si>
  <si>
    <t>1692.0</t>
  </si>
  <si>
    <t>375.0</t>
  </si>
  <si>
    <t>38.0</t>
  </si>
  <si>
    <t>2057.0</t>
  </si>
  <si>
    <t>41.0</t>
  </si>
  <si>
    <t>138.0</t>
  </si>
  <si>
    <t>2138.0</t>
  </si>
  <si>
    <t>1834.0</t>
  </si>
  <si>
    <t>11.0</t>
  </si>
  <si>
    <t>56.0</t>
  </si>
  <si>
    <t>956.0</t>
  </si>
  <si>
    <t>198.0</t>
  </si>
  <si>
    <t>1679.0</t>
  </si>
  <si>
    <t>59.0</t>
  </si>
  <si>
    <t>68.0</t>
  </si>
  <si>
    <t>854.0</t>
  </si>
  <si>
    <t>109.0</t>
  </si>
  <si>
    <t>1897.0</t>
  </si>
  <si>
    <t>1855.0</t>
  </si>
  <si>
    <t>264.0</t>
  </si>
  <si>
    <t>2539.0</t>
  </si>
  <si>
    <t>192.0</t>
  </si>
  <si>
    <t>2161.0</t>
  </si>
  <si>
    <t>758.0</t>
  </si>
  <si>
    <t>390.0</t>
  </si>
  <si>
    <t>2388.0</t>
  </si>
  <si>
    <t>981.0</t>
  </si>
  <si>
    <t>307.0</t>
  </si>
  <si>
    <t>61.0</t>
  </si>
  <si>
    <t>293.0</t>
  </si>
  <si>
    <t>1350.0</t>
  </si>
  <si>
    <t>1163.0</t>
  </si>
  <si>
    <t>33.0</t>
  </si>
  <si>
    <t>940.0</t>
  </si>
  <si>
    <t>1167.0</t>
  </si>
  <si>
    <t>972.0</t>
  </si>
  <si>
    <t>449.0</t>
  </si>
  <si>
    <t>359.0</t>
  </si>
  <si>
    <t>235.0</t>
  </si>
  <si>
    <t>1582.0</t>
  </si>
  <si>
    <t>160.0</t>
  </si>
  <si>
    <t>232.0</t>
  </si>
  <si>
    <t>638.0</t>
  </si>
  <si>
    <t>461.0</t>
  </si>
  <si>
    <t>370.0</t>
  </si>
  <si>
    <t>184.0</t>
  </si>
  <si>
    <t>174.0</t>
  </si>
  <si>
    <t>1219.0</t>
  </si>
  <si>
    <t>360.0</t>
  </si>
  <si>
    <t>358.0</t>
  </si>
  <si>
    <t>2051.0</t>
  </si>
  <si>
    <t>594.0</t>
  </si>
  <si>
    <t>55.0</t>
  </si>
  <si>
    <t>203.0</t>
  </si>
  <si>
    <t>729.0</t>
  </si>
  <si>
    <t>185.0</t>
  </si>
  <si>
    <t>1152.0</t>
  </si>
  <si>
    <t>60.0</t>
  </si>
  <si>
    <t>1600.0</t>
  </si>
  <si>
    <t>356.0</t>
  </si>
  <si>
    <t>1933.0</t>
  </si>
  <si>
    <t>563.0</t>
  </si>
  <si>
    <t>747.0</t>
  </si>
  <si>
    <t>408.0</t>
  </si>
  <si>
    <t>1125.0</t>
  </si>
  <si>
    <t>701.0</t>
  </si>
  <si>
    <t>687.0</t>
  </si>
  <si>
    <t>129.0</t>
  </si>
  <si>
    <t>211.0</t>
  </si>
  <si>
    <t>1340.0</t>
  </si>
  <si>
    <t>749.0</t>
  </si>
  <si>
    <t>945.0</t>
  </si>
  <si>
    <t>295.0</t>
  </si>
  <si>
    <t>762.0</t>
  </si>
  <si>
    <t>1371.0</t>
  </si>
  <si>
    <t>73.0</t>
  </si>
  <si>
    <t>1990.0</t>
  </si>
  <si>
    <t>201.0</t>
  </si>
  <si>
    <t>366.0</t>
  </si>
  <si>
    <t>2471.0</t>
  </si>
  <si>
    <t>1119.0</t>
  </si>
  <si>
    <t>2011.0</t>
  </si>
  <si>
    <t>66.0</t>
  </si>
  <si>
    <t>252.0</t>
  </si>
  <si>
    <t>1675.0</t>
  </si>
  <si>
    <t>1735.0</t>
  </si>
  <si>
    <t>1349.0</t>
  </si>
  <si>
    <t>239.0</t>
  </si>
  <si>
    <t>1088.0</t>
  </si>
  <si>
    <t>242.0</t>
  </si>
  <si>
    <t>205.0</t>
  </si>
  <si>
    <t>2014.0</t>
  </si>
  <si>
    <t>1701.0</t>
  </si>
  <si>
    <t>1751.0</t>
  </si>
  <si>
    <t>371.0</t>
  </si>
  <si>
    <t>2239.0</t>
  </si>
  <si>
    <t>1388.0</t>
  </si>
  <si>
    <t>1343.0</t>
  </si>
  <si>
    <t>187.0</t>
  </si>
  <si>
    <t>916.0</t>
  </si>
  <si>
    <t>1140.0</t>
  </si>
  <si>
    <t>402.0</t>
  </si>
  <si>
    <t>799.0</t>
  </si>
  <si>
    <t>223.0</t>
  </si>
  <si>
    <t>1965.0</t>
  </si>
  <si>
    <t>446.0</t>
  </si>
  <si>
    <t>518.0</t>
  </si>
  <si>
    <t>1089.0</t>
  </si>
  <si>
    <t>733.0</t>
  </si>
  <si>
    <t>761.0</t>
  </si>
  <si>
    <t>1703.0</t>
  </si>
  <si>
    <t>2467.0</t>
  </si>
  <si>
    <t>167.0</t>
  </si>
  <si>
    <t>2017.0</t>
  </si>
  <si>
    <t>258.0</t>
  </si>
  <si>
    <t>1847.0</t>
  </si>
  <si>
    <t>1171.0</t>
  </si>
  <si>
    <t>369.0</t>
  </si>
  <si>
    <t>270.0</t>
  </si>
  <si>
    <t>2449.0</t>
  </si>
  <si>
    <t>2015.0</t>
  </si>
  <si>
    <t>241.0</t>
  </si>
  <si>
    <t>432.0</t>
  </si>
  <si>
    <t>1786.0</t>
  </si>
  <si>
    <t>1177.0</t>
  </si>
  <si>
    <t>959.0</t>
  </si>
  <si>
    <t>491.0</t>
  </si>
  <si>
    <t>316.0</t>
  </si>
  <si>
    <t>838.0</t>
  </si>
  <si>
    <t>754.0</t>
  </si>
  <si>
    <t>281.0</t>
  </si>
  <si>
    <t>424.0</t>
  </si>
  <si>
    <t>889.0</t>
  </si>
  <si>
    <t>253.0</t>
  </si>
  <si>
    <t>403.0</t>
  </si>
  <si>
    <t>2237.0</t>
  </si>
  <si>
    <t>1814.0</t>
  </si>
  <si>
    <t>346.0</t>
  </si>
  <si>
    <t>141.0</t>
  </si>
  <si>
    <t>974.0</t>
  </si>
  <si>
    <t>429.0</t>
  </si>
  <si>
    <t>263.0</t>
  </si>
  <si>
    <t>2659.0</t>
  </si>
  <si>
    <t>328.0</t>
  </si>
  <si>
    <t>2148.0</t>
  </si>
  <si>
    <t>858.0</t>
  </si>
  <si>
    <t>891.0</t>
  </si>
  <si>
    <t>1317.0</t>
  </si>
  <si>
    <t>496.0</t>
  </si>
  <si>
    <t>2612.0</t>
  </si>
  <si>
    <t>727.0</t>
  </si>
  <si>
    <t>598.0</t>
  </si>
  <si>
    <t>1905.0</t>
  </si>
  <si>
    <t>751.0</t>
  </si>
  <si>
    <t>300.0</t>
  </si>
  <si>
    <t>1587.0</t>
  </si>
  <si>
    <t>350.0</t>
  </si>
  <si>
    <t>692.0</t>
  </si>
  <si>
    <t>2233.0</t>
  </si>
  <si>
    <t>238.0</t>
  </si>
  <si>
    <t>753.0</t>
  </si>
  <si>
    <t>1118.0</t>
  </si>
  <si>
    <t>1222.0</t>
  </si>
  <si>
    <t>1170.0</t>
  </si>
  <si>
    <t>214.0</t>
  </si>
  <si>
    <t>1984.0</t>
  </si>
  <si>
    <t>1013.0</t>
  </si>
  <si>
    <t>1207.0</t>
  </si>
  <si>
    <t>853.0</t>
  </si>
  <si>
    <t>503.0</t>
  </si>
  <si>
    <t>1918.0</t>
  </si>
  <si>
    <t>734.0</t>
  </si>
  <si>
    <t>168.0</t>
  </si>
  <si>
    <t>776.0</t>
  </si>
  <si>
    <t>140.0</t>
  </si>
  <si>
    <t>1296.0</t>
  </si>
  <si>
    <t>1763.0</t>
  </si>
  <si>
    <t>604.0</t>
  </si>
  <si>
    <t>199.0</t>
  </si>
  <si>
    <t>652.0</t>
  </si>
  <si>
    <t>1192.0</t>
  </si>
  <si>
    <t>1956.0</t>
  </si>
  <si>
    <t>435.0</t>
  </si>
  <si>
    <t>2380.0</t>
  </si>
  <si>
    <t>700.0</t>
  </si>
  <si>
    <t>662.0</t>
  </si>
  <si>
    <t>877.0</t>
  </si>
  <si>
    <t>624.0</t>
  </si>
  <si>
    <t>200.0</t>
  </si>
  <si>
    <t>935.0</t>
  </si>
  <si>
    <t>967.0</t>
  </si>
  <si>
    <t>83.0</t>
  </si>
  <si>
    <t>39.0</t>
  </si>
  <si>
    <t>197.0</t>
  </si>
  <si>
    <t>529.0</t>
  </si>
  <si>
    <t>76.0</t>
  </si>
  <si>
    <t>865.0</t>
  </si>
  <si>
    <t>189.0</t>
  </si>
  <si>
    <t>349.0</t>
  </si>
  <si>
    <t>1182.0</t>
  </si>
  <si>
    <t>154.0</t>
  </si>
  <si>
    <t>1840.0</t>
  </si>
  <si>
    <t>1443.0</t>
  </si>
  <si>
    <t>299.0</t>
  </si>
  <si>
    <t>960.0</t>
  </si>
  <si>
    <t>980.0</t>
  </si>
  <si>
    <t>1499.0</t>
  </si>
  <si>
    <t>1878.0</t>
  </si>
  <si>
    <t>893.0</t>
  </si>
  <si>
    <t>1113.0</t>
  </si>
  <si>
    <t>357.0</t>
  </si>
  <si>
    <t>79.0</t>
  </si>
  <si>
    <t>1632.0</t>
  </si>
  <si>
    <t>573.0</t>
  </si>
  <si>
    <t>243.0</t>
  </si>
  <si>
    <t>183.0</t>
  </si>
  <si>
    <t>796.0</t>
  </si>
  <si>
    <t>254.0</t>
  </si>
  <si>
    <t>1472.0</t>
  </si>
  <si>
    <t>490.0</t>
  </si>
  <si>
    <t>233.0</t>
  </si>
  <si>
    <t>1853.0</t>
  </si>
  <si>
    <t>540.0</t>
  </si>
  <si>
    <t>1841.0</t>
  </si>
  <si>
    <t>225.0</t>
  </si>
  <si>
    <t>1743.0</t>
  </si>
  <si>
    <t>1387.0</t>
  </si>
  <si>
    <t>204.0</t>
  </si>
  <si>
    <t>164.0</t>
  </si>
  <si>
    <t>1323.0</t>
  </si>
  <si>
    <t>663.0</t>
  </si>
  <si>
    <t>622.0</t>
  </si>
  <si>
    <t>2007.0</t>
  </si>
  <si>
    <t>1833.0</t>
  </si>
  <si>
    <t>405.0</t>
  </si>
  <si>
    <t>2175.0</t>
  </si>
  <si>
    <t>245.0</t>
  </si>
  <si>
    <t>1527.0</t>
  </si>
  <si>
    <t>1277.0</t>
  </si>
  <si>
    <t>191.0</t>
  </si>
  <si>
    <t>876.0</t>
  </si>
  <si>
    <t>173.0</t>
  </si>
  <si>
    <t>2372.0</t>
  </si>
  <si>
    <t>1756.0</t>
  </si>
  <si>
    <t>2128.0</t>
  </si>
  <si>
    <t>308.0</t>
  </si>
  <si>
    <t>152.0</t>
  </si>
  <si>
    <t>1730.0</t>
  </si>
  <si>
    <t>448.0</t>
  </si>
  <si>
    <t>2438.0</t>
  </si>
  <si>
    <t>147.0</t>
  </si>
  <si>
    <t>707.0</t>
  </si>
  <si>
    <t>175.0</t>
  </si>
  <si>
    <t>133.0</t>
  </si>
  <si>
    <t>1861.0</t>
  </si>
  <si>
    <t>329.0</t>
  </si>
  <si>
    <t>276.0</t>
  </si>
  <si>
    <t>1807.0</t>
  </si>
  <si>
    <t>1100.0</t>
  </si>
  <si>
    <t>526.0</t>
  </si>
  <si>
    <t>739.0</t>
  </si>
  <si>
    <t>1981.0</t>
  </si>
  <si>
    <t>973.0</t>
  </si>
  <si>
    <t>364.0</t>
  </si>
  <si>
    <t>2027.0</t>
  </si>
  <si>
    <t>334.0</t>
  </si>
  <si>
    <t>548.0</t>
  </si>
  <si>
    <t>153.0</t>
  </si>
  <si>
    <t>1826.0</t>
  </si>
  <si>
    <t>172.0</t>
  </si>
  <si>
    <t>1521.0</t>
  </si>
  <si>
    <t>544.0</t>
  </si>
  <si>
    <t>1355.0</t>
  </si>
  <si>
    <t>1356.0</t>
  </si>
  <si>
    <t>1232.0</t>
  </si>
  <si>
    <t>819.0</t>
  </si>
  <si>
    <t>1253.0</t>
  </si>
  <si>
    <t>2034.0</t>
  </si>
  <si>
    <t>282.0</t>
  </si>
  <si>
    <t>2286.0</t>
  </si>
  <si>
    <t>148.0</t>
  </si>
  <si>
    <t>859.0</t>
  </si>
  <si>
    <t>1702.0</t>
  </si>
  <si>
    <t>1625.0</t>
  </si>
  <si>
    <t>1363.0</t>
  </si>
  <si>
    <t>306.0</t>
  </si>
  <si>
    <t>1514.0</t>
  </si>
  <si>
    <t>1094.0</t>
  </si>
  <si>
    <t>541.0</t>
  </si>
  <si>
    <t>142.0</t>
  </si>
  <si>
    <t>623.0</t>
  </si>
  <si>
    <t>250.0</t>
  </si>
  <si>
    <t>1771.0</t>
  </si>
  <si>
    <t>473.0</t>
  </si>
  <si>
    <t>2048.0</t>
  </si>
  <si>
    <t>1352.0</t>
  </si>
  <si>
    <t>606.0</t>
  </si>
  <si>
    <t>912.0</t>
  </si>
  <si>
    <t>991.0</t>
  </si>
  <si>
    <t>1603.0</t>
  </si>
  <si>
    <t>537.0</t>
  </si>
  <si>
    <t>220.0</t>
  </si>
  <si>
    <t>1629.0</t>
  </si>
  <si>
    <t>806.0</t>
  </si>
  <si>
    <t>72.0</t>
  </si>
  <si>
    <t>1091.0</t>
  </si>
  <si>
    <t>1250.0</t>
  </si>
  <si>
    <t>545.0</t>
  </si>
  <si>
    <t>1818.0</t>
  </si>
  <si>
    <t>737.0</t>
  </si>
  <si>
    <t>171.0</t>
  </si>
  <si>
    <t>768.0</t>
  </si>
  <si>
    <t>569.0</t>
  </si>
  <si>
    <t>1869.0</t>
  </si>
  <si>
    <t>1714.0</t>
  </si>
  <si>
    <t>1164.0</t>
  </si>
  <si>
    <t>169.0</t>
  </si>
  <si>
    <t>942.0</t>
  </si>
  <si>
    <t>1868.0</t>
  </si>
  <si>
    <t>1959.0</t>
  </si>
  <si>
    <t>2049.0</t>
  </si>
  <si>
    <t>1858.0</t>
  </si>
  <si>
    <t>217.0</t>
  </si>
  <si>
    <t>471.0</t>
  </si>
  <si>
    <t>797.0</t>
  </si>
  <si>
    <t>629.0</t>
  </si>
  <si>
    <t>836.0</t>
  </si>
  <si>
    <t>267.0</t>
  </si>
  <si>
    <t>431.0</t>
  </si>
  <si>
    <t>1505.0</t>
  </si>
  <si>
    <t>194.0</t>
  </si>
  <si>
    <t>1341.0</t>
  </si>
  <si>
    <t>1358.0</t>
  </si>
  <si>
    <t>273.0</t>
  </si>
  <si>
    <t>1502.0</t>
  </si>
  <si>
    <t>363.0</t>
  </si>
  <si>
    <t>2170.0</t>
  </si>
  <si>
    <t>1838.0</t>
  </si>
  <si>
    <t>2065.0</t>
  </si>
  <si>
    <t>324.0</t>
  </si>
  <si>
    <t>2271.0</t>
  </si>
  <si>
    <t>477.0</t>
  </si>
  <si>
    <t>417.0</t>
  </si>
  <si>
    <t>1230.0</t>
  </si>
  <si>
    <t>547.0</t>
  </si>
  <si>
    <t>631.0</t>
  </si>
  <si>
    <t>1441.0</t>
  </si>
  <si>
    <t>579.0</t>
  </si>
  <si>
    <t>1557.0</t>
  </si>
  <si>
    <t>2144.0</t>
  </si>
  <si>
    <t>1493.0</t>
  </si>
  <si>
    <t>522.0</t>
  </si>
  <si>
    <t>558.0</t>
  </si>
  <si>
    <t>983.0</t>
  </si>
  <si>
    <t>222.0</t>
  </si>
  <si>
    <t>455.0</t>
  </si>
  <si>
    <t>343.0</t>
  </si>
  <si>
    <t>229.0</t>
  </si>
  <si>
    <t>394.0</t>
  </si>
  <si>
    <t>240.0</t>
  </si>
  <si>
    <t>1721.0</t>
  </si>
  <si>
    <t>790.0</t>
  </si>
  <si>
    <t>596.0</t>
  </si>
  <si>
    <t>412.0</t>
  </si>
  <si>
    <t>1434.0</t>
  </si>
  <si>
    <t>180.0</t>
  </si>
  <si>
    <t>426.0</t>
  </si>
  <si>
    <t>320.0</t>
  </si>
  <si>
    <t>670.0</t>
  </si>
  <si>
    <t>2401.0</t>
  </si>
  <si>
    <t>1243.0</t>
  </si>
  <si>
    <t>317.0</t>
  </si>
  <si>
    <t>170.0</t>
  </si>
  <si>
    <t>554.0</t>
  </si>
  <si>
    <t>456.0</t>
  </si>
  <si>
    <t>986.0</t>
  </si>
  <si>
    <t>1601.0</t>
  </si>
  <si>
    <t>1926.0</t>
  </si>
  <si>
    <t>535.0</t>
  </si>
  <si>
    <t>1460.0</t>
  </si>
  <si>
    <t>1989.0</t>
  </si>
  <si>
    <t>130.0</t>
  </si>
  <si>
    <t>1233.0</t>
  </si>
  <si>
    <t>1806.0</t>
  </si>
  <si>
    <t>542.0</t>
  </si>
  <si>
    <t>1306.0</t>
  </si>
  <si>
    <t>1904.0</t>
  </si>
  <si>
    <t>1331.0</t>
  </si>
  <si>
    <t>247.0</t>
  </si>
  <si>
    <t>552.0</t>
  </si>
  <si>
    <t>559.0</t>
  </si>
  <si>
    <t>546.0</t>
  </si>
  <si>
    <t>181.0</t>
  </si>
  <si>
    <t>890.0</t>
  </si>
  <si>
    <t>1357.0</t>
  </si>
  <si>
    <t>717.0</t>
  </si>
  <si>
    <t>861.0</t>
  </si>
  <si>
    <t>1560.0</t>
  </si>
  <si>
    <t>1449.0</t>
  </si>
  <si>
    <t>508.0</t>
  </si>
  <si>
    <t>418.0</t>
  </si>
  <si>
    <t>1264.0</t>
  </si>
  <si>
    <t>612.0</t>
  </si>
  <si>
    <t>339.0</t>
  </si>
  <si>
    <t>632.0</t>
  </si>
  <si>
    <t>918.0</t>
  </si>
  <si>
    <t>1753.0</t>
  </si>
  <si>
    <t>2052.0</t>
  </si>
  <si>
    <t>2456.0</t>
  </si>
  <si>
    <t>2217.0</t>
  </si>
  <si>
    <t>1820.0</t>
  </si>
  <si>
    <t>212.0</t>
  </si>
  <si>
    <t>933.0</t>
  </si>
  <si>
    <t>595.0</t>
  </si>
  <si>
    <t>460.0</t>
  </si>
  <si>
    <t>413.0</t>
  </si>
  <si>
    <t>860.0</t>
  </si>
  <si>
    <t>553.0</t>
  </si>
  <si>
    <t>742.0</t>
  </si>
  <si>
    <t>209.0</t>
  </si>
  <si>
    <t>1938.0</t>
  </si>
  <si>
    <t>272.0</t>
  </si>
  <si>
    <t>1059.0</t>
  </si>
  <si>
    <t>150.0</t>
  </si>
  <si>
    <t>476.0</t>
  </si>
  <si>
    <t>1342.0</t>
  </si>
  <si>
    <t>166.0</t>
  </si>
  <si>
    <t>741.0</t>
  </si>
  <si>
    <t>571.0</t>
  </si>
  <si>
    <t>646.0</t>
  </si>
  <si>
    <t>2132.0</t>
  </si>
  <si>
    <t>2296.0</t>
  </si>
  <si>
    <t>319.0</t>
  </si>
  <si>
    <t>251.0</t>
  </si>
  <si>
    <t>867.0</t>
  </si>
  <si>
    <t>755.0</t>
  </si>
  <si>
    <t>1366.0</t>
  </si>
  <si>
    <t>698.0</t>
  </si>
  <si>
    <t>772.0</t>
  </si>
  <si>
    <t>288.0</t>
  </si>
  <si>
    <t>936.0</t>
  </si>
  <si>
    <t>567.0</t>
  </si>
  <si>
    <t>1246.0</t>
  </si>
  <si>
    <t>1183.0</t>
  </si>
  <si>
    <t>1157.0</t>
  </si>
  <si>
    <t>1627.0</t>
  </si>
  <si>
    <t>286.0</t>
  </si>
  <si>
    <t>1490.0</t>
  </si>
  <si>
    <t>2234.0</t>
  </si>
  <si>
    <t>533.0</t>
  </si>
  <si>
    <t>395.0</t>
  </si>
  <si>
    <t>1486.0</t>
  </si>
  <si>
    <t>481.0</t>
  </si>
  <si>
    <t>1862.0</t>
  </si>
  <si>
    <t>353.0</t>
  </si>
  <si>
    <t>1856.0</t>
  </si>
  <si>
    <t>1722.0</t>
  </si>
  <si>
    <t>1475.0</t>
  </si>
  <si>
    <t>158.0</t>
  </si>
  <si>
    <t>805.0</t>
  </si>
  <si>
    <t>1685.0</t>
  </si>
  <si>
    <t>1821.0</t>
  </si>
  <si>
    <t>723.0</t>
  </si>
  <si>
    <t>155.0</t>
  </si>
  <si>
    <t>1090.0</t>
  </si>
  <si>
    <t>336.0</t>
  </si>
  <si>
    <t>2153.0</t>
  </si>
  <si>
    <t>1193.0</t>
  </si>
  <si>
    <t>1528.0</t>
  </si>
  <si>
    <t>1231.0</t>
  </si>
  <si>
    <t>648.0</t>
  </si>
  <si>
    <t>2370.0</t>
  </si>
  <si>
    <t>769.0</t>
  </si>
  <si>
    <t>2297.0</t>
  </si>
  <si>
    <t>1420.0</t>
  </si>
  <si>
    <t>1653.0</t>
  </si>
  <si>
    <t>1641.0</t>
  </si>
  <si>
    <t>792.0</t>
  </si>
  <si>
    <t>296.0</t>
  </si>
  <si>
    <t>2018.0</t>
  </si>
  <si>
    <t>114.0</t>
  </si>
  <si>
    <t>766.0</t>
  </si>
  <si>
    <t>1162.0</t>
  </si>
  <si>
    <t>722.0</t>
  </si>
  <si>
    <t>798.0</t>
  </si>
  <si>
    <t>1976.0</t>
  </si>
  <si>
    <t>1093.0</t>
  </si>
  <si>
    <t>883.0</t>
  </si>
  <si>
    <t>1884.0</t>
  </si>
  <si>
    <t>1842.0</t>
  </si>
  <si>
    <t>842.0</t>
  </si>
  <si>
    <t>442.0</t>
  </si>
  <si>
    <t>218.0</t>
  </si>
  <si>
    <t>1114.0</t>
  </si>
  <si>
    <t>279.0</t>
  </si>
  <si>
    <t>2093.0</t>
  </si>
  <si>
    <t>305.0</t>
  </si>
  <si>
    <t>504.0</t>
  </si>
  <si>
    <t>732.0</t>
  </si>
  <si>
    <t>186.0</t>
  </si>
  <si>
    <t>898.0</t>
  </si>
  <si>
    <t>586.0</t>
  </si>
  <si>
    <t>246.0</t>
  </si>
  <si>
    <t>1975.0</t>
  </si>
  <si>
    <t>159.0</t>
  </si>
  <si>
    <t>651.0</t>
  </si>
  <si>
    <t>1854.0</t>
  </si>
  <si>
    <t>2126.0</t>
  </si>
  <si>
    <t>1117.0</t>
  </si>
  <si>
    <t>294.0</t>
  </si>
  <si>
    <t>284.0</t>
  </si>
  <si>
    <t>1062.0</t>
  </si>
  <si>
    <t>2195.0</t>
  </si>
  <si>
    <t>1337.0</t>
  </si>
  <si>
    <t>1637.0</t>
  </si>
  <si>
    <t>1481.0</t>
  </si>
  <si>
    <t>1146.0</t>
  </si>
  <si>
    <t>1717.0</t>
  </si>
  <si>
    <t>2030.0</t>
  </si>
  <si>
    <t>236.0</t>
  </si>
  <si>
    <t>1624.0</t>
  </si>
  <si>
    <t>536.0</t>
  </si>
  <si>
    <t>249.0</t>
  </si>
  <si>
    <t>475.0</t>
  </si>
  <si>
    <t>275.0</t>
  </si>
  <si>
    <t>578.0</t>
  </si>
  <si>
    <t>210.0</t>
  </si>
  <si>
    <t>1427.0</t>
  </si>
  <si>
    <t>1684.0</t>
  </si>
  <si>
    <t>525.0</t>
  </si>
  <si>
    <t>1364.0</t>
  </si>
  <si>
    <t>2353.0</t>
  </si>
  <si>
    <t>964.0</t>
  </si>
  <si>
    <t>1174.0</t>
  </si>
  <si>
    <t>1729.0</t>
  </si>
  <si>
    <t>322.0</t>
  </si>
  <si>
    <t>1760.0</t>
  </si>
  <si>
    <t>892.0</t>
  </si>
  <si>
    <t>1863.0</t>
  </si>
  <si>
    <t>1598.0</t>
  </si>
  <si>
    <t>1789.0</t>
  </si>
  <si>
    <t>137.0</t>
  </si>
  <si>
    <t>2056.0</t>
  </si>
  <si>
    <t>748.0</t>
  </si>
  <si>
    <t>784.0</t>
  </si>
  <si>
    <t>361.0</t>
  </si>
  <si>
    <t>287.0</t>
  </si>
  <si>
    <t>505.0</t>
  </si>
  <si>
    <t>841.0</t>
  </si>
  <si>
    <t>179.0</t>
  </si>
  <si>
    <t>1979.0</t>
  </si>
  <si>
    <t>2177.0</t>
  </si>
  <si>
    <t>1866.0</t>
  </si>
  <si>
    <t>1707.0</t>
  </si>
  <si>
    <t>1655.0</t>
  </si>
  <si>
    <t>1169.0</t>
  </si>
  <si>
    <t>507.0</t>
  </si>
  <si>
    <t>1642.0</t>
  </si>
  <si>
    <t>1977.0</t>
  </si>
  <si>
    <t>2551.0</t>
  </si>
  <si>
    <t>1401.0</t>
  </si>
  <si>
    <t>1109.0</t>
  </si>
  <si>
    <t>1463.0</t>
  </si>
  <si>
    <t>1036.0</t>
  </si>
  <si>
    <t>828.0</t>
  </si>
  <si>
    <t>1459.0</t>
  </si>
  <si>
    <t>801.0</t>
  </si>
  <si>
    <t>2024.0</t>
  </si>
  <si>
    <t>1767.0</t>
  </si>
  <si>
    <t>377.0</t>
  </si>
  <si>
    <t>419.0</t>
  </si>
  <si>
    <t>1283.0</t>
  </si>
  <si>
    <t>577.0</t>
  </si>
  <si>
    <t>1791.0</t>
  </si>
  <si>
    <t>575.0</t>
  </si>
  <si>
    <t>657.0</t>
  </si>
  <si>
    <t>125.0</t>
  </si>
  <si>
    <t>1144.0</t>
  </si>
  <si>
    <t>982.0</t>
  </si>
  <si>
    <t>486.0</t>
  </si>
  <si>
    <t>298.0</t>
  </si>
  <si>
    <t>731.0</t>
  </si>
  <si>
    <t>1212.0</t>
  </si>
  <si>
    <t>271.0</t>
  </si>
  <si>
    <t>712.0</t>
  </si>
  <si>
    <t>344.0</t>
  </si>
  <si>
    <t>401.0</t>
  </si>
  <si>
    <t>721.0</t>
  </si>
  <si>
    <t>779.0</t>
  </si>
  <si>
    <t>1435.0</t>
  </si>
  <si>
    <t>827.0</t>
  </si>
  <si>
    <t>521.0</t>
  </si>
  <si>
    <t>1002.0</t>
  </si>
  <si>
    <t>310.0</t>
  </si>
  <si>
    <t>1469.0</t>
  </si>
  <si>
    <t>374.0</t>
  </si>
  <si>
    <t>825.0</t>
  </si>
  <si>
    <t>437.0</t>
  </si>
  <si>
    <t>1617.0</t>
  </si>
  <si>
    <t>388.0</t>
  </si>
  <si>
    <t>462.0</t>
  </si>
  <si>
    <t>1765.0</t>
  </si>
  <si>
    <t>2010.0</t>
  </si>
  <si>
    <t>2039.0</t>
  </si>
  <si>
    <t>1922.0</t>
  </si>
  <si>
    <t>1589.0</t>
  </si>
  <si>
    <t>888.0</t>
  </si>
  <si>
    <t>679.0</t>
  </si>
  <si>
    <t>423.0</t>
  </si>
  <si>
    <t>1205.0</t>
  </si>
  <si>
    <t>866.0</t>
  </si>
  <si>
    <t>2172.0</t>
  </si>
  <si>
    <t>1852.0</t>
  </si>
  <si>
    <t>1240.0</t>
  </si>
  <si>
    <t>1077.0</t>
  </si>
  <si>
    <t>1043.0</t>
  </si>
  <si>
    <t>2156.0</t>
  </si>
  <si>
    <t>1604.0</t>
  </si>
  <si>
    <t>1846.0</t>
  </si>
  <si>
    <t>323.0</t>
  </si>
  <si>
    <t>1432.0</t>
  </si>
  <si>
    <t>2059.0</t>
  </si>
  <si>
    <t>234.0</t>
  </si>
  <si>
    <t>1208.0</t>
  </si>
  <si>
    <t>379.0</t>
  </si>
  <si>
    <t>1225.0</t>
  </si>
  <si>
    <t>1525.0</t>
  </si>
  <si>
    <t>class prediction</t>
  </si>
  <si>
    <t>class proba</t>
  </si>
  <si>
    <t>prediction</t>
  </si>
  <si>
    <t>prediction intervals</t>
  </si>
  <si>
    <t>Geometric Brownian Motion</t>
  </si>
  <si>
    <t>CIR</t>
  </si>
  <si>
    <t>Accuracy</t>
  </si>
  <si>
    <t>TARGET VALUE</t>
  </si>
  <si>
    <t>ROW NUMBER</t>
  </si>
  <si>
    <t>UNIQUE ROWS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</si>
</sst>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simulation'!$B$4:$V$4</c:f>
              <c:numCache>
                <c:formatCode>General</c:formatCode>
                <c:ptCount val="21"/>
                <c:pt idx="0">
                  <c:v>100</c:v>
                </c:pt>
                <c:pt idx="1">
                  <c:v>99.573533728371103</c:v>
                </c:pt>
                <c:pt idx="2">
                  <c:v>100.79991669377846</c:v>
                </c:pt>
                <c:pt idx="3">
                  <c:v>111.58905201307144</c:v>
                </c:pt>
                <c:pt idx="4">
                  <c:v>114.67457845338372</c:v>
                </c:pt>
                <c:pt idx="5">
                  <c:v>118.19227543929134</c:v>
                </c:pt>
                <c:pt idx="6">
                  <c:v>131.86992242717938</c:v>
                </c:pt>
                <c:pt idx="7">
                  <c:v>138.18754867641815</c:v>
                </c:pt>
                <c:pt idx="8">
                  <c:v>132.83513185227972</c:v>
                </c:pt>
                <c:pt idx="9">
                  <c:v>131.43548285451658</c:v>
                </c:pt>
                <c:pt idx="10">
                  <c:v>131.62842724141882</c:v>
                </c:pt>
                <c:pt idx="11">
                  <c:v>143.29953614932884</c:v>
                </c:pt>
                <c:pt idx="12">
                  <c:v>149.40754736511315</c:v>
                </c:pt>
                <c:pt idx="13">
                  <c:v>156.09524437196202</c:v>
                </c:pt>
                <c:pt idx="14">
                  <c:v>160.73394741773447</c:v>
                </c:pt>
                <c:pt idx="15">
                  <c:v>160.08556296874934</c:v>
                </c:pt>
                <c:pt idx="16">
                  <c:v>179.25405436020631</c:v>
                </c:pt>
                <c:pt idx="17">
                  <c:v>188.18897075888745</c:v>
                </c:pt>
                <c:pt idx="18">
                  <c:v>174.66428564749995</c:v>
                </c:pt>
                <c:pt idx="19">
                  <c:v>185.24579388590257</c:v>
                </c:pt>
                <c:pt idx="20">
                  <c:v>185.26625163689289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C-3940-B2CB-DC885A8B065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simulation'!$B$5:$V$5</c:f>
              <c:numCache>
                <c:formatCode>General</c:formatCode>
                <c:ptCount val="21"/>
                <c:pt idx="0">
                  <c:v>100</c:v>
                </c:pt>
                <c:pt idx="1">
                  <c:v>97.079380615106118</c:v>
                </c:pt>
                <c:pt idx="2">
                  <c:v>98.335023430796241</c:v>
                </c:pt>
                <c:pt idx="3">
                  <c:v>95.662850164079885</c:v>
                </c:pt>
                <c:pt idx="4">
                  <c:v>94.456127843553304</c:v>
                </c:pt>
                <c:pt idx="5">
                  <c:v>93.750172765746498</c:v>
                </c:pt>
                <c:pt idx="6">
                  <c:v>88.238982351691774</c:v>
                </c:pt>
                <c:pt idx="7">
                  <c:v>94.225250188234739</c:v>
                </c:pt>
                <c:pt idx="8">
                  <c:v>97.23267818291356</c:v>
                </c:pt>
                <c:pt idx="9">
                  <c:v>94.061610969575085</c:v>
                </c:pt>
                <c:pt idx="10">
                  <c:v>102.55412925348644</c:v>
                </c:pt>
                <c:pt idx="11">
                  <c:v>107.28233031493065</c:v>
                </c:pt>
                <c:pt idx="12">
                  <c:v>108.251842377355</c:v>
                </c:pt>
                <c:pt idx="13">
                  <c:v>115.92769403147511</c:v>
                </c:pt>
                <c:pt idx="14">
                  <c:v>124.04238774171094</c:v>
                </c:pt>
                <c:pt idx="15">
                  <c:v>132.350326802686</c:v>
                </c:pt>
                <c:pt idx="16">
                  <c:v>140.27915626516435</c:v>
                </c:pt>
                <c:pt idx="17">
                  <c:v>147.68480300505604</c:v>
                </c:pt>
                <c:pt idx="18">
                  <c:v>150.76686566947205</c:v>
                </c:pt>
                <c:pt idx="19">
                  <c:v>152.046527285086</c:v>
                </c:pt>
                <c:pt idx="20">
                  <c:v>152.76686857380528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C-3940-B2CB-DC885A8B065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simulation'!$B$6:$V$6</c:f>
              <c:numCache>
                <c:formatCode>General</c:formatCode>
                <c:ptCount val="21"/>
                <c:pt idx="0">
                  <c:v>100</c:v>
                </c:pt>
                <c:pt idx="1">
                  <c:v>98.907476965705044</c:v>
                </c:pt>
                <c:pt idx="2">
                  <c:v>100.23715949458661</c:v>
                </c:pt>
                <c:pt idx="3">
                  <c:v>96.353060192263001</c:v>
                </c:pt>
                <c:pt idx="4">
                  <c:v>109.97102849997732</c:v>
                </c:pt>
                <c:pt idx="5">
                  <c:v>119.62538327573203</c:v>
                </c:pt>
                <c:pt idx="6">
                  <c:v>115.81100840704008</c:v>
                </c:pt>
                <c:pt idx="7">
                  <c:v>116.22934866797932</c:v>
                </c:pt>
                <c:pt idx="8">
                  <c:v>116.277853426814</c:v>
                </c:pt>
                <c:pt idx="9">
                  <c:v>123.8078628873311</c:v>
                </c:pt>
                <c:pt idx="10">
                  <c:v>126.25610428157876</c:v>
                </c:pt>
                <c:pt idx="11">
                  <c:v>130.93857805412972</c:v>
                </c:pt>
                <c:pt idx="12">
                  <c:v>133.89434324176781</c:v>
                </c:pt>
                <c:pt idx="13">
                  <c:v>136.81880823002049</c:v>
                </c:pt>
                <c:pt idx="14">
                  <c:v>150.03034850529042</c:v>
                </c:pt>
                <c:pt idx="15">
                  <c:v>151.91164177584901</c:v>
                </c:pt>
                <c:pt idx="16">
                  <c:v>167.81674457477428</c:v>
                </c:pt>
                <c:pt idx="17">
                  <c:v>159.04464321178972</c:v>
                </c:pt>
                <c:pt idx="18">
                  <c:v>167.69814799513355</c:v>
                </c:pt>
                <c:pt idx="19">
                  <c:v>172.7954175829739</c:v>
                </c:pt>
                <c:pt idx="20">
                  <c:v>178.86930792349568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C-3940-B2CB-DC885A8B065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simulation'!$B$7:$V$7</c:f>
              <c:numCache>
                <c:formatCode>General</c:formatCode>
                <c:ptCount val="21"/>
                <c:pt idx="0">
                  <c:v>100</c:v>
                </c:pt>
                <c:pt idx="1">
                  <c:v>104.36581299902488</c:v>
                </c:pt>
                <c:pt idx="2">
                  <c:v>104.22332863042574</c:v>
                </c:pt>
                <c:pt idx="3">
                  <c:v>104.96485903533926</c:v>
                </c:pt>
                <c:pt idx="4">
                  <c:v>102.15046252278005</c:v>
                </c:pt>
                <c:pt idx="5">
                  <c:v>99.147365901295558</c:v>
                </c:pt>
                <c:pt idx="6">
                  <c:v>103.08292071979383</c:v>
                </c:pt>
                <c:pt idx="7">
                  <c:v>107.95281233371992</c:v>
                </c:pt>
                <c:pt idx="8">
                  <c:v>110.84074264727418</c:v>
                </c:pt>
                <c:pt idx="9">
                  <c:v>118.86136257150751</c:v>
                </c:pt>
                <c:pt idx="10">
                  <c:v>134.85660487684777</c:v>
                </c:pt>
                <c:pt idx="11">
                  <c:v>134.74855275634008</c:v>
                </c:pt>
                <c:pt idx="12">
                  <c:v>122.94068775998213</c:v>
                </c:pt>
                <c:pt idx="13">
                  <c:v>132.38825776042052</c:v>
                </c:pt>
                <c:pt idx="14">
                  <c:v>130.84702775697377</c:v>
                </c:pt>
                <c:pt idx="15">
                  <c:v>129.46084536231425</c:v>
                </c:pt>
                <c:pt idx="16">
                  <c:v>139.54777998785499</c:v>
                </c:pt>
                <c:pt idx="17">
                  <c:v>140.88139992470499</c:v>
                </c:pt>
                <c:pt idx="18">
                  <c:v>135.72523558288708</c:v>
                </c:pt>
                <c:pt idx="19">
                  <c:v>140.25296563324673</c:v>
                </c:pt>
                <c:pt idx="20">
                  <c:v>142.62989400556123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AC-3940-B2CB-DC885A8B065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simulation'!$B$8:$V$8</c:f>
              <c:numCache>
                <c:formatCode>General</c:formatCode>
                <c:ptCount val="21"/>
                <c:pt idx="0">
                  <c:v>100</c:v>
                </c:pt>
                <c:pt idx="1">
                  <c:v>102.43294560492537</c:v>
                </c:pt>
                <c:pt idx="2">
                  <c:v>106.93513282422779</c:v>
                </c:pt>
                <c:pt idx="3">
                  <c:v>107.49447100676164</c:v>
                </c:pt>
                <c:pt idx="4">
                  <c:v>113.68235972423091</c:v>
                </c:pt>
                <c:pt idx="5">
                  <c:v>115.13828832272914</c:v>
                </c:pt>
                <c:pt idx="6">
                  <c:v>119.87781446751534</c:v>
                </c:pt>
                <c:pt idx="7">
                  <c:v>129.67936256090317</c:v>
                </c:pt>
                <c:pt idx="8">
                  <c:v>135.71729873250715</c:v>
                </c:pt>
                <c:pt idx="9">
                  <c:v>136.73263602696932</c:v>
                </c:pt>
                <c:pt idx="10">
                  <c:v>148.29712137394424</c:v>
                </c:pt>
                <c:pt idx="11">
                  <c:v>159.5955864679616</c:v>
                </c:pt>
                <c:pt idx="12">
                  <c:v>167.97461703306053</c:v>
                </c:pt>
                <c:pt idx="13">
                  <c:v>174.07730212684129</c:v>
                </c:pt>
                <c:pt idx="14">
                  <c:v>172.75150279420905</c:v>
                </c:pt>
                <c:pt idx="15">
                  <c:v>189.35750407622649</c:v>
                </c:pt>
                <c:pt idx="16">
                  <c:v>188.17526796165004</c:v>
                </c:pt>
                <c:pt idx="17">
                  <c:v>214.9682740267198</c:v>
                </c:pt>
                <c:pt idx="18">
                  <c:v>237.66710733336811</c:v>
                </c:pt>
                <c:pt idx="19">
                  <c:v>240.52787036543887</c:v>
                </c:pt>
                <c:pt idx="20">
                  <c:v>233.98685133706641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AC-3940-B2CB-DC885A8B065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simulation'!$B$9:$V$9</c:f>
              <c:numCache>
                <c:formatCode>General</c:formatCode>
                <c:ptCount val="21"/>
                <c:pt idx="0">
                  <c:v>100</c:v>
                </c:pt>
                <c:pt idx="1">
                  <c:v>98.829867114757107</c:v>
                </c:pt>
                <c:pt idx="2">
                  <c:v>102.51345346278356</c:v>
                </c:pt>
                <c:pt idx="3">
                  <c:v>103.69039099163442</c:v>
                </c:pt>
                <c:pt idx="4">
                  <c:v>104.35330647028208</c:v>
                </c:pt>
                <c:pt idx="5">
                  <c:v>101.89586811784882</c:v>
                </c:pt>
                <c:pt idx="6">
                  <c:v>104.110205334022</c:v>
                </c:pt>
                <c:pt idx="7">
                  <c:v>102.50942866170573</c:v>
                </c:pt>
                <c:pt idx="8">
                  <c:v>96.573819465689184</c:v>
                </c:pt>
                <c:pt idx="9">
                  <c:v>97.032537310464676</c:v>
                </c:pt>
                <c:pt idx="10">
                  <c:v>104.0369566997432</c:v>
                </c:pt>
                <c:pt idx="11">
                  <c:v>103.51627438406751</c:v>
                </c:pt>
                <c:pt idx="12">
                  <c:v>109.27602895267847</c:v>
                </c:pt>
                <c:pt idx="13">
                  <c:v>103.20661207270754</c:v>
                </c:pt>
                <c:pt idx="14">
                  <c:v>105.39390669474059</c:v>
                </c:pt>
                <c:pt idx="15">
                  <c:v>110.76658876400076</c:v>
                </c:pt>
                <c:pt idx="16">
                  <c:v>115.14968048563129</c:v>
                </c:pt>
                <c:pt idx="17">
                  <c:v>118.54192093777732</c:v>
                </c:pt>
                <c:pt idx="18">
                  <c:v>117.5638230237506</c:v>
                </c:pt>
                <c:pt idx="19">
                  <c:v>115.38174394242478</c:v>
                </c:pt>
                <c:pt idx="20">
                  <c:v>112.25686736582304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AC-3940-B2CB-DC885A8B065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simulation'!$B$10:$V$10</c:f>
              <c:numCache>
                <c:formatCode>General</c:formatCode>
                <c:ptCount val="21"/>
                <c:pt idx="0">
                  <c:v>100</c:v>
                </c:pt>
                <c:pt idx="1">
                  <c:v>103.00757362261837</c:v>
                </c:pt>
                <c:pt idx="2">
                  <c:v>100.60266869869952</c:v>
                </c:pt>
                <c:pt idx="3">
                  <c:v>100.524443109678</c:v>
                </c:pt>
                <c:pt idx="4">
                  <c:v>101.63076590579809</c:v>
                </c:pt>
                <c:pt idx="5">
                  <c:v>114.1244367586099</c:v>
                </c:pt>
                <c:pt idx="6">
                  <c:v>113.11917494729876</c:v>
                </c:pt>
                <c:pt idx="7">
                  <c:v>117.20930135955857</c:v>
                </c:pt>
                <c:pt idx="8">
                  <c:v>120.49512306332826</c:v>
                </c:pt>
                <c:pt idx="9">
                  <c:v>117.59734373260736</c:v>
                </c:pt>
                <c:pt idx="10">
                  <c:v>119.99511619699724</c:v>
                </c:pt>
                <c:pt idx="11">
                  <c:v>132.08274556291957</c:v>
                </c:pt>
                <c:pt idx="12">
                  <c:v>138.34544599938084</c:v>
                </c:pt>
                <c:pt idx="13">
                  <c:v>141.96285448825793</c:v>
                </c:pt>
                <c:pt idx="14">
                  <c:v>142.33601905954242</c:v>
                </c:pt>
                <c:pt idx="15">
                  <c:v>131.53569143880387</c:v>
                </c:pt>
                <c:pt idx="16">
                  <c:v>142.53607039360125</c:v>
                </c:pt>
                <c:pt idx="17">
                  <c:v>135.68188836086026</c:v>
                </c:pt>
                <c:pt idx="18">
                  <c:v>144.17970389324699</c:v>
                </c:pt>
                <c:pt idx="19">
                  <c:v>162.43300562833062</c:v>
                </c:pt>
                <c:pt idx="20">
                  <c:v>154.75155897361552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AC-3940-B2CB-DC885A8B065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simulation'!$B$11:$V$11</c:f>
              <c:numCache>
                <c:formatCode>General</c:formatCode>
                <c:ptCount val="21"/>
                <c:pt idx="0">
                  <c:v>100</c:v>
                </c:pt>
                <c:pt idx="1">
                  <c:v>106.06046995797544</c:v>
                </c:pt>
                <c:pt idx="2">
                  <c:v>107.19499169547601</c:v>
                </c:pt>
                <c:pt idx="3">
                  <c:v>101.47295607099824</c:v>
                </c:pt>
                <c:pt idx="4">
                  <c:v>96.33280718098672</c:v>
                </c:pt>
                <c:pt idx="5">
                  <c:v>91.056676284605857</c:v>
                </c:pt>
                <c:pt idx="6">
                  <c:v>90.80249860030024</c:v>
                </c:pt>
                <c:pt idx="7">
                  <c:v>86.431226090740154</c:v>
                </c:pt>
                <c:pt idx="8">
                  <c:v>91.605825081604138</c:v>
                </c:pt>
                <c:pt idx="9">
                  <c:v>104.19355855084665</c:v>
                </c:pt>
                <c:pt idx="10">
                  <c:v>100.04787140355346</c:v>
                </c:pt>
                <c:pt idx="11">
                  <c:v>106.56826096416737</c:v>
                </c:pt>
                <c:pt idx="12">
                  <c:v>113.40753552236735</c:v>
                </c:pt>
                <c:pt idx="13">
                  <c:v>118.07830060436876</c:v>
                </c:pt>
                <c:pt idx="14">
                  <c:v>114.97090983805916</c:v>
                </c:pt>
                <c:pt idx="15">
                  <c:v>117.03306574818896</c:v>
                </c:pt>
                <c:pt idx="16">
                  <c:v>118.17738298328054</c:v>
                </c:pt>
                <c:pt idx="17">
                  <c:v>124.47267551043019</c:v>
                </c:pt>
                <c:pt idx="18">
                  <c:v>125.11261856350814</c:v>
                </c:pt>
                <c:pt idx="19">
                  <c:v>134.53346110276803</c:v>
                </c:pt>
                <c:pt idx="20">
                  <c:v>135.21064647775532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AC-3940-B2CB-DC885A8B065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simulation'!$B$12:$V$12</c:f>
              <c:numCache>
                <c:formatCode>General</c:formatCode>
                <c:ptCount val="21"/>
                <c:pt idx="0">
                  <c:v>100</c:v>
                </c:pt>
                <c:pt idx="1">
                  <c:v>107.9378673508125</c:v>
                </c:pt>
                <c:pt idx="2">
                  <c:v>104.88315373430056</c:v>
                </c:pt>
                <c:pt idx="3">
                  <c:v>100.8454499821581</c:v>
                </c:pt>
                <c:pt idx="4">
                  <c:v>121.43645762204989</c:v>
                </c:pt>
                <c:pt idx="5">
                  <c:v>121.79000169725668</c:v>
                </c:pt>
                <c:pt idx="6">
                  <c:v>126.59077548806265</c:v>
                </c:pt>
                <c:pt idx="7">
                  <c:v>133.8256893389312</c:v>
                </c:pt>
                <c:pt idx="8">
                  <c:v>133.76694856997736</c:v>
                </c:pt>
                <c:pt idx="9">
                  <c:v>140.56811818798317</c:v>
                </c:pt>
                <c:pt idx="10">
                  <c:v>146.62677675966142</c:v>
                </c:pt>
                <c:pt idx="11">
                  <c:v>148.54254257944569</c:v>
                </c:pt>
                <c:pt idx="12">
                  <c:v>152.6100615635836</c:v>
                </c:pt>
                <c:pt idx="13">
                  <c:v>156.0119626901085</c:v>
                </c:pt>
                <c:pt idx="14">
                  <c:v>177.70151898798133</c:v>
                </c:pt>
                <c:pt idx="15">
                  <c:v>175.35078938739315</c:v>
                </c:pt>
                <c:pt idx="16">
                  <c:v>169.98983905578521</c:v>
                </c:pt>
                <c:pt idx="17">
                  <c:v>174.40463447780306</c:v>
                </c:pt>
                <c:pt idx="18">
                  <c:v>181.39049212347231</c:v>
                </c:pt>
                <c:pt idx="19">
                  <c:v>189.84886274538212</c:v>
                </c:pt>
                <c:pt idx="20">
                  <c:v>190.00683206379895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AC-3940-B2CB-DC885A8B065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simulation'!$B$13:$V$13</c:f>
              <c:numCache>
                <c:formatCode>General</c:formatCode>
                <c:ptCount val="21"/>
                <c:pt idx="0">
                  <c:v>100</c:v>
                </c:pt>
                <c:pt idx="1">
                  <c:v>97.101214145238515</c:v>
                </c:pt>
                <c:pt idx="2">
                  <c:v>105.9177805655434</c:v>
                </c:pt>
                <c:pt idx="3">
                  <c:v>106.58370284831685</c:v>
                </c:pt>
                <c:pt idx="4">
                  <c:v>104.52277346572022</c:v>
                </c:pt>
                <c:pt idx="5">
                  <c:v>105.77783486198292</c:v>
                </c:pt>
                <c:pt idx="6">
                  <c:v>107.25746964249714</c:v>
                </c:pt>
                <c:pt idx="7">
                  <c:v>116.10305674205448</c:v>
                </c:pt>
                <c:pt idx="8">
                  <c:v>119.3983141479258</c:v>
                </c:pt>
                <c:pt idx="9">
                  <c:v>126.96580151081145</c:v>
                </c:pt>
                <c:pt idx="10">
                  <c:v>126.81168235485852</c:v>
                </c:pt>
                <c:pt idx="11">
                  <c:v>131.25938916054383</c:v>
                </c:pt>
                <c:pt idx="12">
                  <c:v>132.24961238394587</c:v>
                </c:pt>
                <c:pt idx="13">
                  <c:v>136.07011661282624</c:v>
                </c:pt>
                <c:pt idx="14">
                  <c:v>133.24001798529457</c:v>
                </c:pt>
                <c:pt idx="15">
                  <c:v>127.78664939302192</c:v>
                </c:pt>
                <c:pt idx="16">
                  <c:v>144.60020694530607</c:v>
                </c:pt>
                <c:pt idx="17">
                  <c:v>152.59054873913925</c:v>
                </c:pt>
                <c:pt idx="18">
                  <c:v>146.78143065198182</c:v>
                </c:pt>
                <c:pt idx="19">
                  <c:v>145.7854934138814</c:v>
                </c:pt>
                <c:pt idx="20">
                  <c:v>140.69751663860848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AC-3940-B2CB-DC885A8B0654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simulation'!$B$14:$V$14</c:f>
              <c:numCache>
                <c:formatCode>General</c:formatCode>
                <c:ptCount val="21"/>
                <c:pt idx="0">
                  <c:v>100</c:v>
                </c:pt>
                <c:pt idx="1">
                  <c:v>114.30390142636448</c:v>
                </c:pt>
                <c:pt idx="2">
                  <c:v>124.98970229315084</c:v>
                </c:pt>
                <c:pt idx="3">
                  <c:v>126.3080923081523</c:v>
                </c:pt>
                <c:pt idx="4">
                  <c:v>132.90489568248839</c:v>
                </c:pt>
                <c:pt idx="5">
                  <c:v>133.30860849871374</c:v>
                </c:pt>
                <c:pt idx="6">
                  <c:v>133.30029766847733</c:v>
                </c:pt>
                <c:pt idx="7">
                  <c:v>131.22643183306826</c:v>
                </c:pt>
                <c:pt idx="8">
                  <c:v>130.44392683365959</c:v>
                </c:pt>
                <c:pt idx="9">
                  <c:v>145.0732559592644</c:v>
                </c:pt>
                <c:pt idx="10">
                  <c:v>148.15920752438879</c:v>
                </c:pt>
                <c:pt idx="11">
                  <c:v>152.62740409033961</c:v>
                </c:pt>
                <c:pt idx="12">
                  <c:v>158.21170724405849</c:v>
                </c:pt>
                <c:pt idx="13">
                  <c:v>172.31218303880129</c:v>
                </c:pt>
                <c:pt idx="14">
                  <c:v>171.95875607188893</c:v>
                </c:pt>
                <c:pt idx="15">
                  <c:v>167.56633458830709</c:v>
                </c:pt>
                <c:pt idx="16">
                  <c:v>186.59008405337497</c:v>
                </c:pt>
                <c:pt idx="17">
                  <c:v>186.90603165436093</c:v>
                </c:pt>
                <c:pt idx="18">
                  <c:v>184.6020980774997</c:v>
                </c:pt>
                <c:pt idx="19">
                  <c:v>177.70751623509415</c:v>
                </c:pt>
                <c:pt idx="20">
                  <c:v>170.65658211876328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AC-3940-B2CB-DC885A8B0654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simulation'!$B$15:$V$15</c:f>
              <c:numCache>
                <c:formatCode>General</c:formatCode>
                <c:ptCount val="21"/>
                <c:pt idx="0">
                  <c:v>100</c:v>
                </c:pt>
                <c:pt idx="1">
                  <c:v>99.506355054874902</c:v>
                </c:pt>
                <c:pt idx="2">
                  <c:v>105.09564106774822</c:v>
                </c:pt>
                <c:pt idx="3">
                  <c:v>113.76253047976836</c:v>
                </c:pt>
                <c:pt idx="4">
                  <c:v>120.69209433846262</c:v>
                </c:pt>
                <c:pt idx="5">
                  <c:v>121.36587731885002</c:v>
                </c:pt>
                <c:pt idx="6">
                  <c:v>124.6546681756478</c:v>
                </c:pt>
                <c:pt idx="7">
                  <c:v>123.23183717585307</c:v>
                </c:pt>
                <c:pt idx="8">
                  <c:v>121.74838880876304</c:v>
                </c:pt>
                <c:pt idx="9">
                  <c:v>130.31297449829259</c:v>
                </c:pt>
                <c:pt idx="10">
                  <c:v>126.83784051919233</c:v>
                </c:pt>
                <c:pt idx="11">
                  <c:v>143.22604587146719</c:v>
                </c:pt>
                <c:pt idx="12">
                  <c:v>146.00752228287482</c:v>
                </c:pt>
                <c:pt idx="13">
                  <c:v>151.12919759492229</c:v>
                </c:pt>
                <c:pt idx="14">
                  <c:v>149.1509229430954</c:v>
                </c:pt>
                <c:pt idx="15">
                  <c:v>148.41156581763164</c:v>
                </c:pt>
                <c:pt idx="16">
                  <c:v>142.29302074916089</c:v>
                </c:pt>
                <c:pt idx="17">
                  <c:v>144.38627716205212</c:v>
                </c:pt>
                <c:pt idx="18">
                  <c:v>150.98663284410279</c:v>
                </c:pt>
                <c:pt idx="19">
                  <c:v>157.14304825416141</c:v>
                </c:pt>
                <c:pt idx="20">
                  <c:v>154.75290777607515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AC-3940-B2CB-DC885A8B0654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simulation'!$B$16:$V$16</c:f>
              <c:numCache>
                <c:formatCode>General</c:formatCode>
                <c:ptCount val="21"/>
                <c:pt idx="0">
                  <c:v>100</c:v>
                </c:pt>
                <c:pt idx="1">
                  <c:v>98.444120973909847</c:v>
                </c:pt>
                <c:pt idx="2">
                  <c:v>98.310334269257282</c:v>
                </c:pt>
                <c:pt idx="3">
                  <c:v>108.49262355710304</c:v>
                </c:pt>
                <c:pt idx="4">
                  <c:v>104.9587067739228</c:v>
                </c:pt>
                <c:pt idx="5">
                  <c:v>106.52337283051382</c:v>
                </c:pt>
                <c:pt idx="6">
                  <c:v>119.96889674000336</c:v>
                </c:pt>
                <c:pt idx="7">
                  <c:v>122.23357592721072</c:v>
                </c:pt>
                <c:pt idx="8">
                  <c:v>116.94359632832992</c:v>
                </c:pt>
                <c:pt idx="9">
                  <c:v>115.83922798615028</c:v>
                </c:pt>
                <c:pt idx="10">
                  <c:v>121.53791395019439</c:v>
                </c:pt>
                <c:pt idx="11">
                  <c:v>122.14344338250211</c:v>
                </c:pt>
                <c:pt idx="12">
                  <c:v>121.61402515359416</c:v>
                </c:pt>
                <c:pt idx="13">
                  <c:v>122.41371807922222</c:v>
                </c:pt>
                <c:pt idx="14">
                  <c:v>125.92434271528528</c:v>
                </c:pt>
                <c:pt idx="15">
                  <c:v>139.68036574303264</c:v>
                </c:pt>
                <c:pt idx="16">
                  <c:v>142.40547623090606</c:v>
                </c:pt>
                <c:pt idx="17">
                  <c:v>153.92545545342745</c:v>
                </c:pt>
                <c:pt idx="18">
                  <c:v>162.67529120887806</c:v>
                </c:pt>
                <c:pt idx="19">
                  <c:v>165.64122276786782</c:v>
                </c:pt>
                <c:pt idx="20">
                  <c:v>157.10730458534528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AC-3940-B2CB-DC885A8B0654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simulation'!$B$17:$V$17</c:f>
              <c:numCache>
                <c:formatCode>General</c:formatCode>
                <c:ptCount val="21"/>
                <c:pt idx="0">
                  <c:v>100</c:v>
                </c:pt>
                <c:pt idx="1">
                  <c:v>99.769679058888599</c:v>
                </c:pt>
                <c:pt idx="2">
                  <c:v>99.695525612834075</c:v>
                </c:pt>
                <c:pt idx="3">
                  <c:v>102.33262316011984</c:v>
                </c:pt>
                <c:pt idx="4">
                  <c:v>111.83096084020332</c:v>
                </c:pt>
                <c:pt idx="5">
                  <c:v>128.43107789716333</c:v>
                </c:pt>
                <c:pt idx="6">
                  <c:v>142.09863861926837</c:v>
                </c:pt>
                <c:pt idx="7">
                  <c:v>144.54832871344047</c:v>
                </c:pt>
                <c:pt idx="8">
                  <c:v>135.57670064912892</c:v>
                </c:pt>
                <c:pt idx="9">
                  <c:v>136.1624343709463</c:v>
                </c:pt>
                <c:pt idx="10">
                  <c:v>140.05831961839183</c:v>
                </c:pt>
                <c:pt idx="11">
                  <c:v>149.61413625732439</c:v>
                </c:pt>
                <c:pt idx="12">
                  <c:v>160.76375919438675</c:v>
                </c:pt>
                <c:pt idx="13">
                  <c:v>170.35788407632518</c:v>
                </c:pt>
                <c:pt idx="14">
                  <c:v>162.69669607730737</c:v>
                </c:pt>
                <c:pt idx="15">
                  <c:v>173.83730958838453</c:v>
                </c:pt>
                <c:pt idx="16">
                  <c:v>174.0847063116494</c:v>
                </c:pt>
                <c:pt idx="17">
                  <c:v>179.8336278319091</c:v>
                </c:pt>
                <c:pt idx="18">
                  <c:v>184.8435316800996</c:v>
                </c:pt>
                <c:pt idx="19">
                  <c:v>193.38210122049361</c:v>
                </c:pt>
                <c:pt idx="20">
                  <c:v>198.27437026520272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AC-3940-B2CB-DC885A8B0654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simulation'!$B$18:$V$18</c:f>
              <c:numCache>
                <c:formatCode>General</c:formatCode>
                <c:ptCount val="21"/>
                <c:pt idx="0">
                  <c:v>100</c:v>
                </c:pt>
                <c:pt idx="1">
                  <c:v>94.211893456151245</c:v>
                </c:pt>
                <c:pt idx="2">
                  <c:v>100.09514957445252</c:v>
                </c:pt>
                <c:pt idx="3">
                  <c:v>104.49848333563638</c:v>
                </c:pt>
                <c:pt idx="4">
                  <c:v>105.59805753003656</c:v>
                </c:pt>
                <c:pt idx="5">
                  <c:v>108.77670489251918</c:v>
                </c:pt>
                <c:pt idx="6">
                  <c:v>112.14011703231228</c:v>
                </c:pt>
                <c:pt idx="7">
                  <c:v>116.11140379126761</c:v>
                </c:pt>
                <c:pt idx="8">
                  <c:v>129.06838962968123</c:v>
                </c:pt>
                <c:pt idx="9">
                  <c:v>130.73075425260905</c:v>
                </c:pt>
                <c:pt idx="10">
                  <c:v>135.00248238363395</c:v>
                </c:pt>
                <c:pt idx="11">
                  <c:v>146.56402444979983</c:v>
                </c:pt>
                <c:pt idx="12">
                  <c:v>158.20970678297343</c:v>
                </c:pt>
                <c:pt idx="13">
                  <c:v>171.56025853921537</c:v>
                </c:pt>
                <c:pt idx="14">
                  <c:v>170.68353452323802</c:v>
                </c:pt>
                <c:pt idx="15">
                  <c:v>193.19215263056481</c:v>
                </c:pt>
                <c:pt idx="16">
                  <c:v>198.49627746883445</c:v>
                </c:pt>
                <c:pt idx="17">
                  <c:v>223.15418361209072</c:v>
                </c:pt>
                <c:pt idx="18">
                  <c:v>213.59203233322964</c:v>
                </c:pt>
                <c:pt idx="19">
                  <c:v>218.95516523371913</c:v>
                </c:pt>
                <c:pt idx="20">
                  <c:v>238.67736732444504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AC-3940-B2CB-DC885A8B0654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simulation'!$B$19:$V$19</c:f>
              <c:numCache>
                <c:formatCode>General</c:formatCode>
                <c:ptCount val="21"/>
                <c:pt idx="0">
                  <c:v>100</c:v>
                </c:pt>
                <c:pt idx="1">
                  <c:v>98.805974801717113</c:v>
                </c:pt>
                <c:pt idx="2">
                  <c:v>97.443588221422701</c:v>
                </c:pt>
                <c:pt idx="3">
                  <c:v>95.211115366749482</c:v>
                </c:pt>
                <c:pt idx="4">
                  <c:v>92.501145578006046</c:v>
                </c:pt>
                <c:pt idx="5">
                  <c:v>92.676325574569745</c:v>
                </c:pt>
                <c:pt idx="6">
                  <c:v>96.488324468150523</c:v>
                </c:pt>
                <c:pt idx="7">
                  <c:v>89.341087295652642</c:v>
                </c:pt>
                <c:pt idx="8">
                  <c:v>92.463179686596845</c:v>
                </c:pt>
                <c:pt idx="9">
                  <c:v>100.72502307345177</c:v>
                </c:pt>
                <c:pt idx="10">
                  <c:v>114.20818430392424</c:v>
                </c:pt>
                <c:pt idx="11">
                  <c:v>124.8148901194958</c:v>
                </c:pt>
                <c:pt idx="12">
                  <c:v>132.74373949048476</c:v>
                </c:pt>
                <c:pt idx="13">
                  <c:v>124.69041420824362</c:v>
                </c:pt>
                <c:pt idx="14">
                  <c:v>123.9041946896226</c:v>
                </c:pt>
                <c:pt idx="15">
                  <c:v>124.66826389767424</c:v>
                </c:pt>
                <c:pt idx="16">
                  <c:v>132.23524768432361</c:v>
                </c:pt>
                <c:pt idx="17">
                  <c:v>134.69984720975759</c:v>
                </c:pt>
                <c:pt idx="18">
                  <c:v>129.52404216766567</c:v>
                </c:pt>
                <c:pt idx="19">
                  <c:v>144.29189595534777</c:v>
                </c:pt>
                <c:pt idx="20">
                  <c:v>154.64897445365577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AC-3940-B2CB-DC885A8B0654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simulation'!$B$20:$V$20</c:f>
              <c:numCache>
                <c:formatCode>General</c:formatCode>
                <c:ptCount val="21"/>
                <c:pt idx="0">
                  <c:v>100</c:v>
                </c:pt>
                <c:pt idx="1">
                  <c:v>103.62635606191094</c:v>
                </c:pt>
                <c:pt idx="2">
                  <c:v>112.78091484686382</c:v>
                </c:pt>
                <c:pt idx="3">
                  <c:v>108.01373724703248</c:v>
                </c:pt>
                <c:pt idx="4">
                  <c:v>114.32547572018257</c:v>
                </c:pt>
                <c:pt idx="5">
                  <c:v>114.05192325398048</c:v>
                </c:pt>
                <c:pt idx="6">
                  <c:v>120.8549526292325</c:v>
                </c:pt>
                <c:pt idx="7">
                  <c:v>123.3838206959376</c:v>
                </c:pt>
                <c:pt idx="8">
                  <c:v>130.41191602169886</c:v>
                </c:pt>
                <c:pt idx="9">
                  <c:v>142.76842422821559</c:v>
                </c:pt>
                <c:pt idx="10">
                  <c:v>146.25306031457811</c:v>
                </c:pt>
                <c:pt idx="11">
                  <c:v>157.5852123836568</c:v>
                </c:pt>
                <c:pt idx="12">
                  <c:v>152.06295933092781</c:v>
                </c:pt>
                <c:pt idx="13">
                  <c:v>150.19950131569314</c:v>
                </c:pt>
                <c:pt idx="14">
                  <c:v>165.94813582653728</c:v>
                </c:pt>
                <c:pt idx="15">
                  <c:v>173.17362490959016</c:v>
                </c:pt>
                <c:pt idx="16">
                  <c:v>160.04156494266053</c:v>
                </c:pt>
                <c:pt idx="17">
                  <c:v>153.08321918785958</c:v>
                </c:pt>
                <c:pt idx="18">
                  <c:v>155.19659048831255</c:v>
                </c:pt>
                <c:pt idx="19">
                  <c:v>165.9574797102027</c:v>
                </c:pt>
                <c:pt idx="20">
                  <c:v>169.08261581245287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AC-3940-B2CB-DC885A8B0654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simulation'!$B$21:$V$21</c:f>
              <c:numCache>
                <c:formatCode>General</c:formatCode>
                <c:ptCount val="21"/>
                <c:pt idx="0">
                  <c:v>100</c:v>
                </c:pt>
                <c:pt idx="1">
                  <c:v>105.64976921068578</c:v>
                </c:pt>
                <c:pt idx="2">
                  <c:v>113.50306358307124</c:v>
                </c:pt>
                <c:pt idx="3">
                  <c:v>126.3596959766612</c:v>
                </c:pt>
                <c:pt idx="4">
                  <c:v>129.75958687314505</c:v>
                </c:pt>
                <c:pt idx="5">
                  <c:v>132.53334992147859</c:v>
                </c:pt>
                <c:pt idx="6">
                  <c:v>124.32790162003091</c:v>
                </c:pt>
                <c:pt idx="7">
                  <c:v>127.949905370498</c:v>
                </c:pt>
                <c:pt idx="8">
                  <c:v>127.33180536674487</c:v>
                </c:pt>
                <c:pt idx="9">
                  <c:v>124.1941219380696</c:v>
                </c:pt>
                <c:pt idx="10">
                  <c:v>126.04015282954256</c:v>
                </c:pt>
                <c:pt idx="11">
                  <c:v>135.78838592312212</c:v>
                </c:pt>
                <c:pt idx="12">
                  <c:v>125.86504526721581</c:v>
                </c:pt>
                <c:pt idx="13">
                  <c:v>126.16572232145272</c:v>
                </c:pt>
                <c:pt idx="14">
                  <c:v>129.95369094044855</c:v>
                </c:pt>
                <c:pt idx="15">
                  <c:v>127.26452381077669</c:v>
                </c:pt>
                <c:pt idx="16">
                  <c:v>132.51726410624968</c:v>
                </c:pt>
                <c:pt idx="17">
                  <c:v>138.52273005894364</c:v>
                </c:pt>
                <c:pt idx="18">
                  <c:v>141.61790487837922</c:v>
                </c:pt>
                <c:pt idx="19">
                  <c:v>128.19950847861992</c:v>
                </c:pt>
                <c:pt idx="20">
                  <c:v>149.29297010735598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AC-3940-B2CB-DC885A8B0654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simulation'!$B$22:$V$22</c:f>
              <c:numCache>
                <c:formatCode>General</c:formatCode>
                <c:ptCount val="21"/>
                <c:pt idx="0">
                  <c:v>100</c:v>
                </c:pt>
                <c:pt idx="1">
                  <c:v>101.35763703218218</c:v>
                </c:pt>
                <c:pt idx="2">
                  <c:v>107.22880192182951</c:v>
                </c:pt>
                <c:pt idx="3">
                  <c:v>111.31936270464288</c:v>
                </c:pt>
                <c:pt idx="4">
                  <c:v>119.98741634440272</c:v>
                </c:pt>
                <c:pt idx="5">
                  <c:v>127.99866648834112</c:v>
                </c:pt>
                <c:pt idx="6">
                  <c:v>129.70727584511388</c:v>
                </c:pt>
                <c:pt idx="7">
                  <c:v>135.36009204437107</c:v>
                </c:pt>
                <c:pt idx="8">
                  <c:v>132.21351244015324</c:v>
                </c:pt>
                <c:pt idx="9">
                  <c:v>141.3182281907398</c:v>
                </c:pt>
                <c:pt idx="10">
                  <c:v>141.41691449292287</c:v>
                </c:pt>
                <c:pt idx="11">
                  <c:v>163.41631682139402</c:v>
                </c:pt>
                <c:pt idx="12">
                  <c:v>154.08410517026127</c:v>
                </c:pt>
                <c:pt idx="13">
                  <c:v>154.16897307450907</c:v>
                </c:pt>
                <c:pt idx="14">
                  <c:v>164.52593573062626</c:v>
                </c:pt>
                <c:pt idx="15">
                  <c:v>172.83283386925945</c:v>
                </c:pt>
                <c:pt idx="16">
                  <c:v>171.84635577311602</c:v>
                </c:pt>
                <c:pt idx="17">
                  <c:v>167.42102710302271</c:v>
                </c:pt>
                <c:pt idx="18">
                  <c:v>172.68783547229037</c:v>
                </c:pt>
                <c:pt idx="19">
                  <c:v>176.71180313308045</c:v>
                </c:pt>
                <c:pt idx="20">
                  <c:v>165.46440775649802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AC-3940-B2CB-DC885A8B0654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simulation'!$B$23:$V$23</c:f>
              <c:numCache>
                <c:formatCode>General</c:formatCode>
                <c:ptCount val="21"/>
                <c:pt idx="0">
                  <c:v>100</c:v>
                </c:pt>
                <c:pt idx="1">
                  <c:v>102.58048801357688</c:v>
                </c:pt>
                <c:pt idx="2">
                  <c:v>106.04984878539756</c:v>
                </c:pt>
                <c:pt idx="3">
                  <c:v>109.55158946558156</c:v>
                </c:pt>
                <c:pt idx="4">
                  <c:v>106.4201270315164</c:v>
                </c:pt>
                <c:pt idx="5">
                  <c:v>111.60338564005188</c:v>
                </c:pt>
                <c:pt idx="6">
                  <c:v>122.44107497089188</c:v>
                </c:pt>
                <c:pt idx="7">
                  <c:v>128.27696479583608</c:v>
                </c:pt>
                <c:pt idx="8">
                  <c:v>124.10925796221755</c:v>
                </c:pt>
                <c:pt idx="9">
                  <c:v>124.3537114698655</c:v>
                </c:pt>
                <c:pt idx="10">
                  <c:v>129.56532547135166</c:v>
                </c:pt>
                <c:pt idx="11">
                  <c:v>128.45554821224547</c:v>
                </c:pt>
                <c:pt idx="12">
                  <c:v>118.09041967075279</c:v>
                </c:pt>
                <c:pt idx="13">
                  <c:v>126.39515375470856</c:v>
                </c:pt>
                <c:pt idx="14">
                  <c:v>124.1746770032282</c:v>
                </c:pt>
                <c:pt idx="15">
                  <c:v>123.56424785076352</c:v>
                </c:pt>
                <c:pt idx="16">
                  <c:v>136.41562297088825</c:v>
                </c:pt>
                <c:pt idx="17">
                  <c:v>134.39040447699915</c:v>
                </c:pt>
                <c:pt idx="18">
                  <c:v>143.56467166339422</c:v>
                </c:pt>
                <c:pt idx="19">
                  <c:v>138.03419762692147</c:v>
                </c:pt>
                <c:pt idx="20">
                  <c:v>138.86806964867623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AC-3940-B2CB-DC885A8B0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52080"/>
        <c:axId val="121211424"/>
      </c:lineChart>
      <c:catAx>
        <c:axId val="120752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211424"/>
        <c:crosses val="autoZero"/>
        <c:auto val="1"/>
        <c:lblAlgn val="ctr"/>
        <c:lblOffset val="100"/>
        <c:noMultiLvlLbl val="0"/>
      </c:catAx>
      <c:valAx>
        <c:axId val="12121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7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simulation'!$B$26:$V$26</c:f>
              <c:numCache>
                <c:formatCode>General</c:formatCode>
                <c:ptCount val="21"/>
                <c:pt idx="0">
                  <c:v>100</c:v>
                </c:pt>
                <c:pt idx="1">
                  <c:v>96.16134599241424</c:v>
                </c:pt>
                <c:pt idx="2">
                  <c:v>93.234702425189241</c:v>
                </c:pt>
                <c:pt idx="3">
                  <c:v>94.673320997204883</c:v>
                </c:pt>
                <c:pt idx="4">
                  <c:v>92.539273374048278</c:v>
                </c:pt>
                <c:pt idx="5">
                  <c:v>90.579432593768644</c:v>
                </c:pt>
                <c:pt idx="6">
                  <c:v>92.394290593192338</c:v>
                </c:pt>
                <c:pt idx="7">
                  <c:v>91.203425048824343</c:v>
                </c:pt>
                <c:pt idx="8">
                  <c:v>86.012343328604786</c:v>
                </c:pt>
                <c:pt idx="9">
                  <c:v>82.355145325406994</c:v>
                </c:pt>
                <c:pt idx="10">
                  <c:v>79.336589891745064</c:v>
                </c:pt>
                <c:pt idx="11">
                  <c:v>80.105536162349367</c:v>
                </c:pt>
                <c:pt idx="12">
                  <c:v>78.922472658698496</c:v>
                </c:pt>
                <c:pt idx="13">
                  <c:v>77.856615027078178</c:v>
                </c:pt>
                <c:pt idx="14">
                  <c:v>76.189744388412009</c:v>
                </c:pt>
                <c:pt idx="15">
                  <c:v>73.14448692548909</c:v>
                </c:pt>
                <c:pt idx="16">
                  <c:v>75.140210162760368</c:v>
                </c:pt>
                <c:pt idx="17">
                  <c:v>74.348276693839907</c:v>
                </c:pt>
                <c:pt idx="18">
                  <c:v>68.412590255712288</c:v>
                </c:pt>
                <c:pt idx="19">
                  <c:v>68.154652391211258</c:v>
                </c:pt>
                <c:pt idx="20">
                  <c:v>65.517853096556038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0-0A43-9CA6-BA81CB9FC60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simulation'!$B$27:$V$27</c:f>
              <c:numCache>
                <c:formatCode>General</c:formatCode>
                <c:ptCount val="21"/>
                <c:pt idx="0">
                  <c:v>100</c:v>
                </c:pt>
                <c:pt idx="1">
                  <c:v>94.933789806203578</c:v>
                </c:pt>
                <c:pt idx="2">
                  <c:v>92.072522832475244</c:v>
                </c:pt>
                <c:pt idx="3">
                  <c:v>87.40079424696863</c:v>
                </c:pt>
                <c:pt idx="4">
                  <c:v>83.624199190834446</c:v>
                </c:pt>
                <c:pt idx="5">
                  <c:v>80.165265653908975</c:v>
                </c:pt>
                <c:pt idx="6">
                  <c:v>74.601706739684474</c:v>
                </c:pt>
                <c:pt idx="7">
                  <c:v>74.553042814919422</c:v>
                </c:pt>
                <c:pt idx="8">
                  <c:v>73.038260612549664</c:v>
                </c:pt>
                <c:pt idx="9">
                  <c:v>68.869884329756019</c:v>
                </c:pt>
                <c:pt idx="10">
                  <c:v>69.748300264094382</c:v>
                </c:pt>
                <c:pt idx="11">
                  <c:v>68.902910095912119</c:v>
                </c:pt>
                <c:pt idx="12">
                  <c:v>66.60207061280299</c:v>
                </c:pt>
                <c:pt idx="13">
                  <c:v>66.762476940161861</c:v>
                </c:pt>
                <c:pt idx="14">
                  <c:v>66.904936870558018</c:v>
                </c:pt>
                <c:pt idx="15">
                  <c:v>66.913820994599519</c:v>
                </c:pt>
                <c:pt idx="16">
                  <c:v>66.651471394361465</c:v>
                </c:pt>
                <c:pt idx="17">
                  <c:v>66.120534422334615</c:v>
                </c:pt>
                <c:pt idx="18">
                  <c:v>64.364553266744025</c:v>
                </c:pt>
                <c:pt idx="19">
                  <c:v>62.174612101391766</c:v>
                </c:pt>
                <c:pt idx="20">
                  <c:v>59.912288539092089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0-0A43-9CA6-BA81CB9FC60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simulation'!$B$28:$V$28</c:f>
              <c:numCache>
                <c:formatCode>General</c:formatCode>
                <c:ptCount val="21"/>
                <c:pt idx="0">
                  <c:v>100</c:v>
                </c:pt>
                <c:pt idx="1">
                  <c:v>95.890512823434605</c:v>
                </c:pt>
                <c:pt idx="2">
                  <c:v>93.026913314998936</c:v>
                </c:pt>
                <c:pt idx="3">
                  <c:v>87.760302211048582</c:v>
                </c:pt>
                <c:pt idx="4">
                  <c:v>90.651597628700245</c:v>
                </c:pt>
                <c:pt idx="5">
                  <c:v>91.264809235978674</c:v>
                </c:pt>
                <c:pt idx="6">
                  <c:v>86.398427798626301</c:v>
                </c:pt>
                <c:pt idx="7">
                  <c:v>83.351965614249238</c:v>
                </c:pt>
                <c:pt idx="8">
                  <c:v>80.252036965667955</c:v>
                </c:pt>
                <c:pt idx="9">
                  <c:v>79.994370560609099</c:v>
                </c:pt>
                <c:pt idx="10">
                  <c:v>77.90331729747308</c:v>
                </c:pt>
                <c:pt idx="11">
                  <c:v>76.545903851198162</c:v>
                </c:pt>
                <c:pt idx="12">
                  <c:v>74.600546743619304</c:v>
                </c:pt>
                <c:pt idx="13">
                  <c:v>72.703880698808462</c:v>
                </c:pt>
                <c:pt idx="14">
                  <c:v>73.807765384188997</c:v>
                </c:pt>
                <c:pt idx="15">
                  <c:v>71.511622169047797</c:v>
                </c:pt>
                <c:pt idx="16">
                  <c:v>72.930026869351877</c:v>
                </c:pt>
                <c:pt idx="17">
                  <c:v>67.921344887838586</c:v>
                </c:pt>
                <c:pt idx="18">
                  <c:v>67.438420799363229</c:v>
                </c:pt>
                <c:pt idx="19">
                  <c:v>66.030872276378545</c:v>
                </c:pt>
                <c:pt idx="20">
                  <c:v>64.831890841604761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0-0A43-9CA6-BA81CB9FC60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simulation'!$B$29:$V$29</c:f>
              <c:numCache>
                <c:formatCode>General</c:formatCode>
                <c:ptCount val="21"/>
                <c:pt idx="0">
                  <c:v>100</c:v>
                </c:pt>
                <c:pt idx="1">
                  <c:v>98.464718643168993</c:v>
                </c:pt>
                <c:pt idx="2">
                  <c:v>94.823849540716438</c:v>
                </c:pt>
                <c:pt idx="3">
                  <c:v>91.6883034146271</c:v>
                </c:pt>
                <c:pt idx="4">
                  <c:v>87.047834713435165</c:v>
                </c:pt>
                <c:pt idx="5">
                  <c:v>82.464098510552674</c:v>
                </c:pt>
                <c:pt idx="6">
                  <c:v>81.106070599908207</c:v>
                </c:pt>
                <c:pt idx="7">
                  <c:v>80.097065345119006</c:v>
                </c:pt>
                <c:pt idx="8">
                  <c:v>78.238470179514806</c:v>
                </c:pt>
                <c:pt idx="9">
                  <c:v>78.322262459832643</c:v>
                </c:pt>
                <c:pt idx="10">
                  <c:v>80.909531371389718</c:v>
                </c:pt>
                <c:pt idx="11">
                  <c:v>77.832677763812995</c:v>
                </c:pt>
                <c:pt idx="12">
                  <c:v>70.99493048045646</c:v>
                </c:pt>
                <c:pt idx="13">
                  <c:v>71.348747942969851</c:v>
                </c:pt>
                <c:pt idx="14">
                  <c:v>68.135877877889229</c:v>
                </c:pt>
                <c:pt idx="15">
                  <c:v>65.067532172257145</c:v>
                </c:pt>
                <c:pt idx="16">
                  <c:v>65.50894827261483</c:v>
                </c:pt>
                <c:pt idx="17">
                  <c:v>63.328842649886226</c:v>
                </c:pt>
                <c:pt idx="18">
                  <c:v>59.421676096561761</c:v>
                </c:pt>
                <c:pt idx="19">
                  <c:v>58.297968011520446</c:v>
                </c:pt>
                <c:pt idx="20">
                  <c:v>56.599108727713748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0-0A43-9CA6-BA81CB9FC60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simulation'!$B$30:$V$30</c:f>
              <c:numCache>
                <c:formatCode>General</c:formatCode>
                <c:ptCount val="21"/>
                <c:pt idx="0">
                  <c:v>100</c:v>
                </c:pt>
                <c:pt idx="1">
                  <c:v>97.546198534269863</c:v>
                </c:pt>
                <c:pt idx="2">
                  <c:v>96.073716308927985</c:v>
                </c:pt>
                <c:pt idx="3">
                  <c:v>92.8212069530951</c:v>
                </c:pt>
                <c:pt idx="4">
                  <c:v>92.061189967286694</c:v>
                </c:pt>
                <c:pt idx="5">
                  <c:v>89.269980787175257</c:v>
                </c:pt>
                <c:pt idx="6">
                  <c:v>87.837063213127877</c:v>
                </c:pt>
                <c:pt idx="7">
                  <c:v>88.221295482309628</c:v>
                </c:pt>
                <c:pt idx="8">
                  <c:v>87.060015049592621</c:v>
                </c:pt>
                <c:pt idx="9">
                  <c:v>84.188220691189798</c:v>
                </c:pt>
                <c:pt idx="10">
                  <c:v>84.746404225543927</c:v>
                </c:pt>
                <c:pt idx="11">
                  <c:v>84.917716456339107</c:v>
                </c:pt>
                <c:pt idx="12">
                  <c:v>84.076590725919104</c:v>
                </c:pt>
                <c:pt idx="13">
                  <c:v>82.538752148108983</c:v>
                </c:pt>
                <c:pt idx="14">
                  <c:v>79.10729362693904</c:v>
                </c:pt>
                <c:pt idx="15">
                  <c:v>80.181344811149586</c:v>
                </c:pt>
                <c:pt idx="16">
                  <c:v>76.888448940371219</c:v>
                </c:pt>
                <c:pt idx="17">
                  <c:v>79.769911241801736</c:v>
                </c:pt>
                <c:pt idx="18">
                  <c:v>81.195888987314476</c:v>
                </c:pt>
                <c:pt idx="19">
                  <c:v>78.699606885888215</c:v>
                </c:pt>
                <c:pt idx="20">
                  <c:v>74.538603896442041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30-0A43-9CA6-BA81CB9FC600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simulation'!$B$31:$V$31</c:f>
              <c:numCache>
                <c:formatCode>General</c:formatCode>
                <c:ptCount val="21"/>
                <c:pt idx="0">
                  <c:v>100</c:v>
                </c:pt>
                <c:pt idx="1">
                  <c:v>95.805639743035513</c:v>
                </c:pt>
                <c:pt idx="2">
                  <c:v>94.066686968905543</c:v>
                </c:pt>
                <c:pt idx="3">
                  <c:v>91.163043802807763</c:v>
                </c:pt>
                <c:pt idx="4">
                  <c:v>88.10002532782913</c:v>
                </c:pt>
                <c:pt idx="5">
                  <c:v>83.764659796512476</c:v>
                </c:pt>
                <c:pt idx="6">
                  <c:v>81.595477200431645</c:v>
                </c:pt>
                <c:pt idx="7">
                  <c:v>77.87443012012983</c:v>
                </c:pt>
                <c:pt idx="8">
                  <c:v>72.383458554159901</c:v>
                </c:pt>
                <c:pt idx="9">
                  <c:v>69.820786222554986</c:v>
                </c:pt>
                <c:pt idx="10">
                  <c:v>69.994420594751602</c:v>
                </c:pt>
                <c:pt idx="11">
                  <c:v>67.09035608893322</c:v>
                </c:pt>
                <c:pt idx="12">
                  <c:v>66.665393905105034</c:v>
                </c:pt>
                <c:pt idx="13">
                  <c:v>61.819759420672867</c:v>
                </c:pt>
                <c:pt idx="14">
                  <c:v>60.186321536821936</c:v>
                </c:pt>
                <c:pt idx="15">
                  <c:v>59.750374350610386</c:v>
                </c:pt>
                <c:pt idx="16">
                  <c:v>58.855397855728626</c:v>
                </c:pt>
                <c:pt idx="17">
                  <c:v>57.601909040260431</c:v>
                </c:pt>
                <c:pt idx="18">
                  <c:v>54.993427691535096</c:v>
                </c:pt>
                <c:pt idx="19">
                  <c:v>52.106404291076544</c:v>
                </c:pt>
                <c:pt idx="20">
                  <c:v>49.035741962349107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30-0A43-9CA6-BA81CB9FC60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simulation'!$B$32:$V$32</c:f>
              <c:numCache>
                <c:formatCode>General</c:formatCode>
                <c:ptCount val="21"/>
                <c:pt idx="0">
                  <c:v>100</c:v>
                </c:pt>
                <c:pt idx="1">
                  <c:v>97.827575816467885</c:v>
                </c:pt>
                <c:pt idx="2">
                  <c:v>93.126758348605364</c:v>
                </c:pt>
                <c:pt idx="3">
                  <c:v>89.749708764079358</c:v>
                </c:pt>
                <c:pt idx="4">
                  <c:v>86.943362919715767</c:v>
                </c:pt>
                <c:pt idx="5">
                  <c:v>89.069607084642129</c:v>
                </c:pt>
                <c:pt idx="6">
                  <c:v>85.369767523074657</c:v>
                </c:pt>
                <c:pt idx="7">
                  <c:v>83.796639424600841</c:v>
                </c:pt>
                <c:pt idx="8">
                  <c:v>81.903150535053967</c:v>
                </c:pt>
                <c:pt idx="9">
                  <c:v>77.760006208944901</c:v>
                </c:pt>
                <c:pt idx="10">
                  <c:v>75.686206546180983</c:v>
                </c:pt>
                <c:pt idx="11">
                  <c:v>76.933559349015226</c:v>
                </c:pt>
                <c:pt idx="12">
                  <c:v>76.008886404047672</c:v>
                </c:pt>
                <c:pt idx="13">
                  <c:v>74.230095833232369</c:v>
                </c:pt>
                <c:pt idx="14">
                  <c:v>71.507018582560121</c:v>
                </c:pt>
                <c:pt idx="15">
                  <c:v>65.621053214146869</c:v>
                </c:pt>
                <c:pt idx="16">
                  <c:v>66.269986875202036</c:v>
                </c:pt>
                <c:pt idx="17">
                  <c:v>61.751175583936181</c:v>
                </c:pt>
                <c:pt idx="18">
                  <c:v>61.663818041283115</c:v>
                </c:pt>
                <c:pt idx="19">
                  <c:v>63.880449397834589</c:v>
                </c:pt>
                <c:pt idx="20">
                  <c:v>59.503873958838398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30-0A43-9CA6-BA81CB9FC60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simulation'!$B$33:$V$33</c:f>
              <c:numCache>
                <c:formatCode>General</c:formatCode>
                <c:ptCount val="21"/>
                <c:pt idx="0">
                  <c:v>100</c:v>
                </c:pt>
                <c:pt idx="1">
                  <c:v>99.260558275541158</c:v>
                </c:pt>
                <c:pt idx="2">
                  <c:v>96.16994636015022</c:v>
                </c:pt>
                <c:pt idx="3">
                  <c:v>90.050831069014279</c:v>
                </c:pt>
                <c:pt idx="4">
                  <c:v>84.336474351159822</c:v>
                </c:pt>
                <c:pt idx="5">
                  <c:v>78.685114675706899</c:v>
                </c:pt>
                <c:pt idx="6">
                  <c:v>75.615239024563806</c:v>
                </c:pt>
                <c:pt idx="7">
                  <c:v>70.662504123868786</c:v>
                </c:pt>
                <c:pt idx="8">
                  <c:v>70.344843094979083</c:v>
                </c:pt>
                <c:pt idx="9">
                  <c:v>72.997856559604045</c:v>
                </c:pt>
                <c:pt idx="10">
                  <c:v>68.52319437407877</c:v>
                </c:pt>
                <c:pt idx="11">
                  <c:v>68.485144859613158</c:v>
                </c:pt>
                <c:pt idx="12">
                  <c:v>68.367301470289988</c:v>
                </c:pt>
                <c:pt idx="13">
                  <c:v>67.355446433304905</c:v>
                </c:pt>
                <c:pt idx="14">
                  <c:v>63.728935149677021</c:v>
                </c:pt>
                <c:pt idx="15">
                  <c:v>61.92180986056573</c:v>
                </c:pt>
                <c:pt idx="16">
                  <c:v>59.85564290789349</c:v>
                </c:pt>
                <c:pt idx="17">
                  <c:v>59.452369082799969</c:v>
                </c:pt>
                <c:pt idx="18">
                  <c:v>57.336505522246561</c:v>
                </c:pt>
                <c:pt idx="19">
                  <c:v>57.772695431308115</c:v>
                </c:pt>
                <c:pt idx="20">
                  <c:v>55.653018097168307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30-0A43-9CA6-BA81CB9FC60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simulation'!$B$34:$V$34</c:f>
              <c:numCache>
                <c:formatCode>General</c:formatCode>
                <c:ptCount val="21"/>
                <c:pt idx="0">
                  <c:v>100</c:v>
                </c:pt>
                <c:pt idx="1">
                  <c:v>100.15142283672871</c:v>
                </c:pt>
                <c:pt idx="2">
                  <c:v>95.148736585173495</c:v>
                </c:pt>
                <c:pt idx="3">
                  <c:v>89.832765460240822</c:v>
                </c:pt>
                <c:pt idx="4">
                  <c:v>95.313986251724998</c:v>
                </c:pt>
                <c:pt idx="5">
                  <c:v>91.965580792765167</c:v>
                </c:pt>
                <c:pt idx="6">
                  <c:v>90.398214971474061</c:v>
                </c:pt>
                <c:pt idx="7">
                  <c:v>89.658535736870121</c:v>
                </c:pt>
                <c:pt idx="8">
                  <c:v>86.367408679559588</c:v>
                </c:pt>
                <c:pt idx="9">
                  <c:v>85.418278715645457</c:v>
                </c:pt>
                <c:pt idx="10">
                  <c:v>84.148153108891691</c:v>
                </c:pt>
                <c:pt idx="11">
                  <c:v>81.596730190074751</c:v>
                </c:pt>
                <c:pt idx="12">
                  <c:v>79.747091250308344</c:v>
                </c:pt>
                <c:pt idx="13">
                  <c:v>77.703502108151554</c:v>
                </c:pt>
                <c:pt idx="14">
                  <c:v>80.460904124164841</c:v>
                </c:pt>
                <c:pt idx="15">
                  <c:v>76.852432686350625</c:v>
                </c:pt>
                <c:pt idx="16">
                  <c:v>72.62058265556027</c:v>
                </c:pt>
                <c:pt idx="17">
                  <c:v>70.924083247653712</c:v>
                </c:pt>
                <c:pt idx="18">
                  <c:v>69.825303640800712</c:v>
                </c:pt>
                <c:pt idx="19">
                  <c:v>69.02022241166847</c:v>
                </c:pt>
                <c:pt idx="20">
                  <c:v>66.385906124411918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30-0A43-9CA6-BA81CB9FC60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simulation'!$B$35:$V$35</c:f>
              <c:numCache>
                <c:formatCode>General</c:formatCode>
                <c:ptCount val="21"/>
                <c:pt idx="0">
                  <c:v>100</c:v>
                </c:pt>
                <c:pt idx="1">
                  <c:v>94.943199246068644</c:v>
                </c:pt>
                <c:pt idx="2">
                  <c:v>95.643678428637841</c:v>
                </c:pt>
                <c:pt idx="3">
                  <c:v>92.445515260328165</c:v>
                </c:pt>
                <c:pt idx="4">
                  <c:v>88.134105299597792</c:v>
                </c:pt>
                <c:pt idx="5">
                  <c:v>85.414681773930667</c:v>
                </c:pt>
                <c:pt idx="6">
                  <c:v>82.878703040226625</c:v>
                </c:pt>
                <c:pt idx="7">
                  <c:v>83.332522720309726</c:v>
                </c:pt>
                <c:pt idx="8">
                  <c:v>81.467545245872756</c:v>
                </c:pt>
                <c:pt idx="9">
                  <c:v>81.197141799198064</c:v>
                </c:pt>
                <c:pt idx="10">
                  <c:v>78.0934269570471</c:v>
                </c:pt>
                <c:pt idx="11">
                  <c:v>76.630974715180983</c:v>
                </c:pt>
                <c:pt idx="12">
                  <c:v>74.045566463426312</c:v>
                </c:pt>
                <c:pt idx="13">
                  <c:v>72.41786024272821</c:v>
                </c:pt>
                <c:pt idx="14">
                  <c:v>68.783002635162759</c:v>
                </c:pt>
                <c:pt idx="15">
                  <c:v>64.444734404670854</c:v>
                </c:pt>
                <c:pt idx="16">
                  <c:v>66.858978184879007</c:v>
                </c:pt>
                <c:pt idx="17">
                  <c:v>66.418990470311329</c:v>
                </c:pt>
                <c:pt idx="18">
                  <c:v>62.301246211310463</c:v>
                </c:pt>
                <c:pt idx="19">
                  <c:v>59.635094354795221</c:v>
                </c:pt>
                <c:pt idx="20">
                  <c:v>55.938400018996752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30-0A43-9CA6-BA81CB9FC60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simulation'!$B$36:$V$36</c:f>
              <c:numCache>
                <c:formatCode>General</c:formatCode>
                <c:ptCount val="21"/>
                <c:pt idx="0">
                  <c:v>100</c:v>
                </c:pt>
                <c:pt idx="1">
                  <c:v>103.00085132473498</c:v>
                </c:pt>
                <c:pt idx="2">
                  <c:v>103.75365927765677</c:v>
                </c:pt>
                <c:pt idx="3">
                  <c:v>100.53719575605793</c:v>
                </c:pt>
                <c:pt idx="4">
                  <c:v>99.395831649574561</c:v>
                </c:pt>
                <c:pt idx="5">
                  <c:v>96.014682753127104</c:v>
                </c:pt>
                <c:pt idx="6">
                  <c:v>92.502576754307356</c:v>
                </c:pt>
                <c:pt idx="7">
                  <c:v>88.502503446440102</c:v>
                </c:pt>
                <c:pt idx="8">
                  <c:v>85.019656145974537</c:v>
                </c:pt>
                <c:pt idx="9">
                  <c:v>86.699342515517046</c:v>
                </c:pt>
                <c:pt idx="10">
                  <c:v>84.4447059659404</c:v>
                </c:pt>
                <c:pt idx="11">
                  <c:v>82.628852878167422</c:v>
                </c:pt>
                <c:pt idx="12">
                  <c:v>81.133282551431705</c:v>
                </c:pt>
                <c:pt idx="13">
                  <c:v>81.877647277788128</c:v>
                </c:pt>
                <c:pt idx="14">
                  <c:v>78.714535535711107</c:v>
                </c:pt>
                <c:pt idx="15">
                  <c:v>74.625809641697003</c:v>
                </c:pt>
                <c:pt idx="16">
                  <c:v>76.380348764516739</c:v>
                </c:pt>
                <c:pt idx="17">
                  <c:v>73.572851908903274</c:v>
                </c:pt>
                <c:pt idx="18">
                  <c:v>70.244282914486988</c:v>
                </c:pt>
                <c:pt idx="19">
                  <c:v>65.996267115797806</c:v>
                </c:pt>
                <c:pt idx="20">
                  <c:v>61.837948259575995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30-0A43-9CA6-BA81CB9FC600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simulation'!$B$37:$V$37</c:f>
              <c:numCache>
                <c:formatCode>General</c:formatCode>
                <c:ptCount val="21"/>
                <c:pt idx="0">
                  <c:v>100</c:v>
                </c:pt>
                <c:pt idx="1">
                  <c:v>96.128111176453444</c:v>
                </c:pt>
                <c:pt idx="2">
                  <c:v>95.248219219859365</c:v>
                </c:pt>
                <c:pt idx="3">
                  <c:v>95.577578227296797</c:v>
                </c:pt>
                <c:pt idx="4">
                  <c:v>94.928478567761317</c:v>
                </c:pt>
                <c:pt idx="5">
                  <c:v>91.717399386908824</c:v>
                </c:pt>
                <c:pt idx="6">
                  <c:v>89.597215815311714</c:v>
                </c:pt>
                <c:pt idx="7">
                  <c:v>85.760286883172654</c:v>
                </c:pt>
                <c:pt idx="8">
                  <c:v>82.024417861194195</c:v>
                </c:pt>
                <c:pt idx="9">
                  <c:v>81.977356379668265</c:v>
                </c:pt>
                <c:pt idx="10">
                  <c:v>77.713088706630927</c:v>
                </c:pt>
                <c:pt idx="11">
                  <c:v>80.085012809567914</c:v>
                </c:pt>
                <c:pt idx="12">
                  <c:v>77.909591163584622</c:v>
                </c:pt>
                <c:pt idx="13">
                  <c:v>76.451965842714856</c:v>
                </c:pt>
                <c:pt idx="14">
                  <c:v>72.988443881218473</c:v>
                </c:pt>
                <c:pt idx="15">
                  <c:v>69.987422686796222</c:v>
                </c:pt>
                <c:pt idx="16">
                  <c:v>65.583800040586809</c:v>
                </c:pt>
                <c:pt idx="17">
                  <c:v>63.601603970424307</c:v>
                </c:pt>
                <c:pt idx="18">
                  <c:v>62.854070844306541</c:v>
                </c:pt>
                <c:pt idx="19">
                  <c:v>61.934666454135879</c:v>
                </c:pt>
                <c:pt idx="20">
                  <c:v>58.906032040475026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30-0A43-9CA6-BA81CB9FC600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simulation'!$B$38:$V$38</c:f>
              <c:numCache>
                <c:formatCode>General</c:formatCode>
                <c:ptCount val="21"/>
                <c:pt idx="0">
                  <c:v>100</c:v>
                </c:pt>
                <c:pt idx="1">
                  <c:v>95.607954390659799</c:v>
                </c:pt>
                <c:pt idx="2">
                  <c:v>92.065748567190838</c:v>
                </c:pt>
                <c:pt idx="3">
                  <c:v>93.359676106192865</c:v>
                </c:pt>
                <c:pt idx="4">
                  <c:v>88.378533203940634</c:v>
                </c:pt>
                <c:pt idx="5">
                  <c:v>85.803438121348037</c:v>
                </c:pt>
                <c:pt idx="6">
                  <c:v>88.065648717217286</c:v>
                </c:pt>
                <c:pt idx="7">
                  <c:v>85.659059077110086</c:v>
                </c:pt>
                <c:pt idx="8">
                  <c:v>80.484676903862805</c:v>
                </c:pt>
                <c:pt idx="9">
                  <c:v>77.048440485847493</c:v>
                </c:pt>
                <c:pt idx="10">
                  <c:v>76.214017222329744</c:v>
                </c:pt>
                <c:pt idx="11">
                  <c:v>73.551301279180251</c:v>
                </c:pt>
                <c:pt idx="12">
                  <c:v>70.565709212372951</c:v>
                </c:pt>
                <c:pt idx="13">
                  <c:v>68.116898378249601</c:v>
                </c:pt>
                <c:pt idx="14">
                  <c:v>66.618470404664606</c:v>
                </c:pt>
                <c:pt idx="15">
                  <c:v>68.217347214351577</c:v>
                </c:pt>
                <c:pt idx="16">
                  <c:v>66.356878419887167</c:v>
                </c:pt>
                <c:pt idx="17">
                  <c:v>66.897426710306092</c:v>
                </c:pt>
                <c:pt idx="18">
                  <c:v>66.517900472744699</c:v>
                </c:pt>
                <c:pt idx="19">
                  <c:v>64.648360512616804</c:v>
                </c:pt>
                <c:pt idx="20">
                  <c:v>60.064349828162619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30-0A43-9CA6-BA81CB9FC600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simulation'!$B$39:$V$39</c:f>
              <c:numCache>
                <c:formatCode>General</c:formatCode>
                <c:ptCount val="21"/>
                <c:pt idx="0">
                  <c:v>100</c:v>
                </c:pt>
                <c:pt idx="1">
                  <c:v>96.258146088813234</c:v>
                </c:pt>
                <c:pt idx="2">
                  <c:v>92.713955971608755</c:v>
                </c:pt>
                <c:pt idx="3">
                  <c:v>90.537669515061154</c:v>
                </c:pt>
                <c:pt idx="4">
                  <c:v>91.363934467205482</c:v>
                </c:pt>
                <c:pt idx="5">
                  <c:v>94.576531213949295</c:v>
                </c:pt>
                <c:pt idx="6">
                  <c:v>96.03318989606268</c:v>
                </c:pt>
                <c:pt idx="7">
                  <c:v>93.349521053931113</c:v>
                </c:pt>
                <c:pt idx="8">
                  <c:v>86.947980328729059</c:v>
                </c:pt>
                <c:pt idx="9">
                  <c:v>83.91407959731022</c:v>
                </c:pt>
                <c:pt idx="10">
                  <c:v>82.042860160621402</c:v>
                </c:pt>
                <c:pt idx="11">
                  <c:v>81.90946744756485</c:v>
                </c:pt>
                <c:pt idx="12">
                  <c:v>82.044001203552185</c:v>
                </c:pt>
                <c:pt idx="13">
                  <c:v>81.546378083941534</c:v>
                </c:pt>
                <c:pt idx="14">
                  <c:v>76.471591205788755</c:v>
                </c:pt>
                <c:pt idx="15">
                  <c:v>76.417713629492397</c:v>
                </c:pt>
                <c:pt idx="16">
                  <c:v>73.582379515370832</c:v>
                </c:pt>
                <c:pt idx="17">
                  <c:v>72.134271152752078</c:v>
                </c:pt>
                <c:pt idx="18">
                  <c:v>70.50871833844144</c:v>
                </c:pt>
                <c:pt idx="19">
                  <c:v>69.653854560118546</c:v>
                </c:pt>
                <c:pt idx="20">
                  <c:v>67.990782844461265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E30-0A43-9CA6-BA81CB9FC600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simulation'!$B$40:$V$40</c:f>
              <c:numCache>
                <c:formatCode>General</c:formatCode>
                <c:ptCount val="21"/>
                <c:pt idx="0">
                  <c:v>100</c:v>
                </c:pt>
                <c:pt idx="1">
                  <c:v>93.482651775975341</c:v>
                </c:pt>
                <c:pt idx="2">
                  <c:v>92.934130511876035</c:v>
                </c:pt>
                <c:pt idx="3">
                  <c:v>91.571015207989646</c:v>
                </c:pt>
                <c:pt idx="4">
                  <c:v>88.693331268925036</c:v>
                </c:pt>
                <c:pt idx="5">
                  <c:v>86.779810987827418</c:v>
                </c:pt>
                <c:pt idx="6">
                  <c:v>84.944090655193747</c:v>
                </c:pt>
                <c:pt idx="7">
                  <c:v>83.347480365643776</c:v>
                </c:pt>
                <c:pt idx="8">
                  <c:v>85.008213836130111</c:v>
                </c:pt>
                <c:pt idx="9">
                  <c:v>82.455953912814039</c:v>
                </c:pt>
                <c:pt idx="10">
                  <c:v>80.795576160848682</c:v>
                </c:pt>
                <c:pt idx="11">
                  <c:v>81.403620741007472</c:v>
                </c:pt>
                <c:pt idx="12">
                  <c:v>81.744584196618135</c:v>
                </c:pt>
                <c:pt idx="13">
                  <c:v>82.353615548011746</c:v>
                </c:pt>
                <c:pt idx="14">
                  <c:v>79.040135093389267</c:v>
                </c:pt>
                <c:pt idx="15">
                  <c:v>81.518666886636908</c:v>
                </c:pt>
                <c:pt idx="16">
                  <c:v>79.653843509834033</c:v>
                </c:pt>
                <c:pt idx="17">
                  <c:v>81.836920557525175</c:v>
                </c:pt>
                <c:pt idx="18">
                  <c:v>76.846721534586223</c:v>
                </c:pt>
                <c:pt idx="19">
                  <c:v>74.994937935121314</c:v>
                </c:pt>
                <c:pt idx="20">
                  <c:v>75.823293634301749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30-0A43-9CA6-BA81CB9FC600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simulation'!$B$41:$V$41</c:f>
              <c:numCache>
                <c:formatCode>General</c:formatCode>
                <c:ptCount val="21"/>
                <c:pt idx="0">
                  <c:v>100</c:v>
                </c:pt>
                <c:pt idx="1">
                  <c:v>95.810212929898725</c:v>
                </c:pt>
                <c:pt idx="2">
                  <c:v>91.681189770375966</c:v>
                </c:pt>
                <c:pt idx="3">
                  <c:v>87.235611994798504</c:v>
                </c:pt>
                <c:pt idx="4">
                  <c:v>82.686975653546938</c:v>
                </c:pt>
                <c:pt idx="5">
                  <c:v>79.673027338161333</c:v>
                </c:pt>
                <c:pt idx="6">
                  <c:v>78.450481776735685</c:v>
                </c:pt>
                <c:pt idx="7">
                  <c:v>72.198921603304981</c:v>
                </c:pt>
                <c:pt idx="8">
                  <c:v>70.858967404970855</c:v>
                </c:pt>
                <c:pt idx="9">
                  <c:v>71.687466163763744</c:v>
                </c:pt>
                <c:pt idx="10">
                  <c:v>74.231919244639329</c:v>
                </c:pt>
                <c:pt idx="11">
                  <c:v>75.179663730526073</c:v>
                </c:pt>
                <c:pt idx="12">
                  <c:v>74.993519198169224</c:v>
                </c:pt>
                <c:pt idx="13">
                  <c:v>69.51900772249472</c:v>
                </c:pt>
                <c:pt idx="14">
                  <c:v>66.577622976998356</c:v>
                </c:pt>
                <c:pt idx="15">
                  <c:v>64.234672368162762</c:v>
                </c:pt>
                <c:pt idx="16">
                  <c:v>64.045700852291759</c:v>
                </c:pt>
                <c:pt idx="17">
                  <c:v>62.257092404518602</c:v>
                </c:pt>
                <c:pt idx="18">
                  <c:v>58.378150361925428</c:v>
                </c:pt>
                <c:pt idx="19">
                  <c:v>60.138383521096046</c:v>
                </c:pt>
                <c:pt idx="20">
                  <c:v>60.400536310992074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E30-0A43-9CA6-BA81CB9FC600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simulation'!$B$42:$V$42</c:f>
              <c:numCache>
                <c:formatCode>General</c:formatCode>
                <c:ptCount val="21"/>
                <c:pt idx="0">
                  <c:v>100</c:v>
                </c:pt>
                <c:pt idx="1">
                  <c:v>98.117300653298798</c:v>
                </c:pt>
                <c:pt idx="2">
                  <c:v>98.680400688413201</c:v>
                </c:pt>
                <c:pt idx="3">
                  <c:v>93.010190966995566</c:v>
                </c:pt>
                <c:pt idx="4">
                  <c:v>92.285091987358641</c:v>
                </c:pt>
                <c:pt idx="5">
                  <c:v>88.77861913585248</c:v>
                </c:pt>
                <c:pt idx="6">
                  <c:v>88.209916567749417</c:v>
                </c:pt>
                <c:pt idx="7">
                  <c:v>85.893223259567677</c:v>
                </c:pt>
                <c:pt idx="8">
                  <c:v>85.218158169728426</c:v>
                </c:pt>
                <c:pt idx="9">
                  <c:v>86.177198934506862</c:v>
                </c:pt>
                <c:pt idx="10">
                  <c:v>84.069319936766476</c:v>
                </c:pt>
                <c:pt idx="11">
                  <c:v>84.298804742323696</c:v>
                </c:pt>
                <c:pt idx="12">
                  <c:v>79.562434935476858</c:v>
                </c:pt>
                <c:pt idx="13">
                  <c:v>76.028294968903296</c:v>
                </c:pt>
                <c:pt idx="14">
                  <c:v>77.436969081187797</c:v>
                </c:pt>
                <c:pt idx="15">
                  <c:v>76.342068769014077</c:v>
                </c:pt>
                <c:pt idx="16">
                  <c:v>70.128924352253989</c:v>
                </c:pt>
                <c:pt idx="17">
                  <c:v>65.627217019064744</c:v>
                </c:pt>
                <c:pt idx="18">
                  <c:v>63.610505048383274</c:v>
                </c:pt>
                <c:pt idx="19">
                  <c:v>63.791701709292539</c:v>
                </c:pt>
                <c:pt idx="20">
                  <c:v>62.018714837863897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30-0A43-9CA6-BA81CB9FC600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simulation'!$B$43:$V$43</c:f>
              <c:numCache>
                <c:formatCode>General</c:formatCode>
                <c:ptCount val="21"/>
                <c:pt idx="0">
                  <c:v>100</c:v>
                </c:pt>
                <c:pt idx="1">
                  <c:v>99.068545115321996</c:v>
                </c:pt>
                <c:pt idx="2">
                  <c:v>99.022864200072036</c:v>
                </c:pt>
                <c:pt idx="3">
                  <c:v>100.72552486215828</c:v>
                </c:pt>
                <c:pt idx="4">
                  <c:v>98.378636117461198</c:v>
                </c:pt>
                <c:pt idx="5">
                  <c:v>95.836775611261203</c:v>
                </c:pt>
                <c:pt idx="6">
                  <c:v>89.307400847164175</c:v>
                </c:pt>
                <c:pt idx="7">
                  <c:v>87.349442503216977</c:v>
                </c:pt>
                <c:pt idx="8">
                  <c:v>83.890940534914563</c:v>
                </c:pt>
                <c:pt idx="9">
                  <c:v>79.678018662462307</c:v>
                </c:pt>
                <c:pt idx="10">
                  <c:v>77.317264169410748</c:v>
                </c:pt>
                <c:pt idx="11">
                  <c:v>77.619474722831583</c:v>
                </c:pt>
                <c:pt idx="12">
                  <c:v>71.456677469170984</c:v>
                </c:pt>
                <c:pt idx="13">
                  <c:v>68.809762383923726</c:v>
                </c:pt>
                <c:pt idx="14">
                  <c:v>67.348444676185366</c:v>
                </c:pt>
                <c:pt idx="15">
                  <c:v>63.899934875715353</c:v>
                </c:pt>
                <c:pt idx="16">
                  <c:v>62.993465611655751</c:v>
                </c:pt>
                <c:pt idx="17">
                  <c:v>62.24275645057876</c:v>
                </c:pt>
                <c:pt idx="18">
                  <c:v>60.678213384594628</c:v>
                </c:pt>
                <c:pt idx="19">
                  <c:v>54.560939850561539</c:v>
                </c:pt>
                <c:pt idx="20">
                  <c:v>57.976621310025742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30-0A43-9CA6-BA81CB9FC600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simulation'!$B$44:$V$44</c:f>
              <c:numCache>
                <c:formatCode>General</c:formatCode>
                <c:ptCount val="21"/>
                <c:pt idx="0">
                  <c:v>100</c:v>
                </c:pt>
                <c:pt idx="1">
                  <c:v>97.02814846655248</c:v>
                </c:pt>
                <c:pt idx="2">
                  <c:v>96.212905548353717</c:v>
                </c:pt>
                <c:pt idx="3">
                  <c:v>94.51128438588654</c:v>
                </c:pt>
                <c:pt idx="4">
                  <c:v>94.638444878665794</c:v>
                </c:pt>
                <c:pt idx="5">
                  <c:v>94.263812039429297</c:v>
                </c:pt>
                <c:pt idx="6">
                  <c:v>91.437586358281806</c:v>
                </c:pt>
                <c:pt idx="7">
                  <c:v>90.069490786808714</c:v>
                </c:pt>
                <c:pt idx="8">
                  <c:v>85.658008528727024</c:v>
                </c:pt>
                <c:pt idx="9">
                  <c:v>85.502866509864162</c:v>
                </c:pt>
                <c:pt idx="10">
                  <c:v>82.371560080712669</c:v>
                </c:pt>
                <c:pt idx="11">
                  <c:v>85.810382344466078</c:v>
                </c:pt>
                <c:pt idx="12">
                  <c:v>79.985233128935832</c:v>
                </c:pt>
                <c:pt idx="13">
                  <c:v>77.008180531012954</c:v>
                </c:pt>
                <c:pt idx="14">
                  <c:v>76.895426975954464</c:v>
                </c:pt>
                <c:pt idx="15">
                  <c:v>76.100876348553527</c:v>
                </c:pt>
                <c:pt idx="16">
                  <c:v>72.965576732797999</c:v>
                </c:pt>
                <c:pt idx="17">
                  <c:v>69.0969342493445</c:v>
                </c:pt>
                <c:pt idx="18">
                  <c:v>67.687926926959904</c:v>
                </c:pt>
                <c:pt idx="19">
                  <c:v>65.996955515252395</c:v>
                </c:pt>
                <c:pt idx="20">
                  <c:v>60.848468542395615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30-0A43-9CA6-BA81CB9FC600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'scenario simulation'!$B$45:$V$45</c:f>
              <c:numCache>
                <c:formatCode>General</c:formatCode>
                <c:ptCount val="21"/>
                <c:pt idx="0">
                  <c:v>100</c:v>
                </c:pt>
                <c:pt idx="1">
                  <c:v>97.615800924096405</c:v>
                </c:pt>
                <c:pt idx="2">
                  <c:v>95.673304888790923</c:v>
                </c:pt>
                <c:pt idx="3">
                  <c:v>93.738647075492636</c:v>
                </c:pt>
                <c:pt idx="4">
                  <c:v>88.935714270288159</c:v>
                </c:pt>
                <c:pt idx="5">
                  <c:v>87.860974226374637</c:v>
                </c:pt>
                <c:pt idx="6">
                  <c:v>88.891542600865833</c:v>
                </c:pt>
                <c:pt idx="7">
                  <c:v>87.762751358202763</c:v>
                </c:pt>
                <c:pt idx="8">
                  <c:v>83.00567438355958</c:v>
                </c:pt>
                <c:pt idx="9">
                  <c:v>79.985340945162463</c:v>
                </c:pt>
                <c:pt idx="10">
                  <c:v>78.779521156560477</c:v>
                </c:pt>
                <c:pt idx="11">
                  <c:v>75.43190849173007</c:v>
                </c:pt>
                <c:pt idx="12">
                  <c:v>69.048170062959088</c:v>
                </c:pt>
                <c:pt idx="13">
                  <c:v>69.158260536806125</c:v>
                </c:pt>
                <c:pt idx="14">
                  <c:v>65.77065128816335</c:v>
                </c:pt>
                <c:pt idx="15">
                  <c:v>63.0106342232949</c:v>
                </c:pt>
                <c:pt idx="16">
                  <c:v>64.418860321204548</c:v>
                </c:pt>
                <c:pt idx="17">
                  <c:v>61.313268073703291</c:v>
                </c:pt>
                <c:pt idx="18">
                  <c:v>61.444945604967572</c:v>
                </c:pt>
                <c:pt idx="19">
                  <c:v>57.534471668041597</c:v>
                </c:pt>
                <c:pt idx="20">
                  <c:v>55.456506580252316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30-0A43-9CA6-BA81CB9FC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691055"/>
        <c:axId val="2076681999"/>
      </c:lineChart>
      <c:catAx>
        <c:axId val="2076691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6681999"/>
        <c:crosses val="autoZero"/>
        <c:auto val="1"/>
        <c:lblAlgn val="ctr"/>
        <c:lblOffset val="100"/>
        <c:noMultiLvlLbl val="0"/>
      </c:catAx>
      <c:valAx>
        <c:axId val="20766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669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survival!$R$3:$R$261</c:f>
              <c:numCache>
                <c:formatCode>General</c:formatCode>
                <c:ptCount val="25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6-E24F-BA97-915CB0A162E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survival!$S$3:$S$261</c:f>
              <c:numCache>
                <c:formatCode>General</c:formatCode>
                <c:ptCount val="25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6-E24F-BA97-915CB0A162E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survival!$T$3:$T$261</c:f>
              <c:numCache>
                <c:formatCode>General</c:formatCode>
                <c:ptCount val="25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6-E24F-BA97-915CB0A1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188175"/>
        <c:axId val="1960414239"/>
      </c:lineChart>
      <c:catAx>
        <c:axId val="1960188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0414239"/>
        <c:crosses val="autoZero"/>
        <c:auto val="1"/>
        <c:lblAlgn val="ctr"/>
        <c:lblOffset val="100"/>
        <c:noMultiLvlLbl val="0"/>
      </c:catAx>
      <c:valAx>
        <c:axId val="196041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018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'univariate forecasting'!$D$10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2-3840-978F-2799ED770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190591"/>
        <c:axId val="1868192303"/>
      </c:lineChart>
      <c:catAx>
        <c:axId val="186819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8192303"/>
        <c:crosses val="autoZero"/>
        <c:auto val="1"/>
        <c:lblAlgn val="ctr"/>
        <c:lblOffset val="100"/>
        <c:noMultiLvlLbl val="0"/>
      </c:catAx>
      <c:valAx>
        <c:axId val="18681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819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'multivariate forecasting'!$E$2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7-0441-BC19-59BB9FC4C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32160"/>
        <c:axId val="1868276111"/>
      </c:lineChart>
      <c:catAx>
        <c:axId val="12143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8276111"/>
        <c:crosses val="autoZero"/>
        <c:auto val="1"/>
        <c:lblAlgn val="ctr"/>
        <c:lblOffset val="100"/>
        <c:noMultiLvlLbl val="0"/>
      </c:catAx>
      <c:valAx>
        <c:axId val="186827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43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mlregression!$O$2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mlregression!$O$3:$O$11</c:f>
              <c:numCache>
                <c:formatCode>General</c:formatCode>
                <c:ptCount val="9"/>
                <c:pt idx="0">
                  <c:v>12.967250823974609</c:v>
                </c:pt>
                <c:pt idx="1">
                  <c:v>14.536111831665041</c:v>
                </c:pt>
                <c:pt idx="2">
                  <c:v>25.64634895324707</c:v>
                </c:pt>
                <c:pt idx="3">
                  <c:v>23.621732711791992</c:v>
                </c:pt>
                <c:pt idx="4">
                  <c:v>23.537330627441406</c:v>
                </c:pt>
                <c:pt idx="5">
                  <c:v>12.363693237304688</c:v>
                </c:pt>
                <c:pt idx="6">
                  <c:v>19.287214279174805</c:v>
                </c:pt>
                <c:pt idx="7">
                  <c:v>10.167579650878906</c:v>
                </c:pt>
                <c:pt idx="8">
                  <c:v>23.055709838867188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F-C748-B5A2-758AD0FE3298}"/>
            </c:ext>
          </c:extLst>
        </c:ser>
        <c:ser>
          <c:idx val="1"/>
          <c:order val="1"/>
          <c:tx>
            <c:strRef>
              <c:f>mlregression!$P$2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mlregression!$P$3:$P$11</c:f>
              <c:numCache>
                <c:formatCode>General</c:formatCode>
                <c:ptCount val="9"/>
                <c:pt idx="0">
                  <c:v>4.9283008575439453</c:v>
                </c:pt>
                <c:pt idx="1">
                  <c:v>6.497161865234375</c:v>
                </c:pt>
                <c:pt idx="2">
                  <c:v>17.607398986816406</c:v>
                </c:pt>
                <c:pt idx="3">
                  <c:v>15.582782745361328</c:v>
                </c:pt>
                <c:pt idx="4">
                  <c:v>15.498380661010742</c:v>
                </c:pt>
                <c:pt idx="5">
                  <c:v>4.3247432708740234</c:v>
                </c:pt>
                <c:pt idx="6">
                  <c:v>11.248264312744141</c:v>
                </c:pt>
                <c:pt idx="7">
                  <c:v>2.1286296844482422</c:v>
                </c:pt>
                <c:pt idx="8">
                  <c:v>15.016759872436523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A1-B649-9716-2339F778FC19}"/>
            </c:ext>
          </c:extLst>
        </c:ser>
        <c:ser>
          <c:idx val="2"/>
          <c:order val="2"/>
          <c:tx>
            <c:strRef>
              <c:f>mlregression!$Q$2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mlregression!$Q$3:$Q$11</c:f>
              <c:numCache>
                <c:formatCode>General</c:formatCode>
                <c:ptCount val="9"/>
                <c:pt idx="0">
                  <c:v>21.006200790405273</c:v>
                </c:pt>
                <c:pt idx="1">
                  <c:v>22.575061798095703</c:v>
                </c:pt>
                <c:pt idx="2">
                  <c:v>33.685298919677734</c:v>
                </c:pt>
                <c:pt idx="3">
                  <c:v>31.660682678222656</c:v>
                </c:pt>
                <c:pt idx="4">
                  <c:v>31.57628059387207</c:v>
                </c:pt>
                <c:pt idx="5">
                  <c:v>20.402643203735352</c:v>
                </c:pt>
                <c:pt idx="6">
                  <c:v>27.326164245605469</c:v>
                </c:pt>
                <c:pt idx="7">
                  <c:v>18.20652961730957</c:v>
                </c:pt>
                <c:pt idx="8">
                  <c:v>31.094659805297852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A1-B649-9716-2339F778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794623"/>
        <c:axId val="1957213551"/>
      </c:lineChart>
      <c:catAx>
        <c:axId val="1864794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7213551"/>
        <c:crosses val="autoZero"/>
        <c:auto val="1"/>
        <c:lblAlgn val="ctr"/>
        <c:lblOffset val="100"/>
        <c:noMultiLvlLbl val="0"/>
      </c:catAx>
      <c:valAx>
        <c:axId val="195721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79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reserving!$H$2</c:f>
              <c:strCache>
                <c:ptCount val="1"/>
                <c:pt idx="0">
                  <c:v>origin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reserving!$H$3:$H$11</c:f>
              <c:numCache>
                <c:formatCode>General</c:formatCode>
                <c:ptCount val="9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B-6A46-BC7F-DE5352CF1B39}"/>
            </c:ext>
          </c:extLst>
        </c:ser>
        <c:ser>
          <c:idx val="1"/>
          <c:order val="1"/>
          <c:tx>
            <c:strRef>
              <c:f>reserving!$I$2</c:f>
              <c:strCache>
                <c:ptCount val="1"/>
                <c:pt idx="0">
                  <c:v>IBNR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reserving!$I$3:$I$11</c:f>
              <c:numCache>
                <c:formatCode>General</c:formatCode>
                <c:ptCount val="9"/>
                <c:pt idx="0">
                  <c:v>661.59943798562699</c:v>
                </c:pt>
                <c:pt idx="1">
                  <c:v>1272.5427536073826</c:v>
                </c:pt>
                <c:pt idx="2">
                  <c:v>1836.7251869906845</c:v>
                </c:pt>
                <c:pt idx="3">
                  <c:v>2357.7407170891083</c:v>
                </c:pt>
                <c:pt idx="4">
                  <c:v>2838.9054953155746</c:v>
                </c:pt>
                <c:pt idx="5">
                  <c:v>3283.2794459754964</c:v>
                </c:pt>
                <c:pt idx="6">
                  <c:v>3693.6861777242584</c:v>
                </c:pt>
                <c:pt idx="7">
                  <c:v>4072.731338861784</c:v>
                </c:pt>
                <c:pt idx="8">
                  <c:v>5139.2970238695825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36-EB45-BC5E-55018A3F5ACD}"/>
            </c:ext>
          </c:extLst>
        </c:ser>
        <c:ser>
          <c:idx val="2"/>
          <c:order val="2"/>
          <c:tx>
            <c:strRef>
              <c:f>reserving!$J$2</c:f>
              <c:strCache>
                <c:ptCount val="1"/>
                <c:pt idx="0">
                  <c:v>IBNR 95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reserving!$J$3:$J$11</c:f>
              <c:numCache>
                <c:formatCode>General</c:formatCode>
                <c:ptCount val="9"/>
                <c:pt idx="0">
                  <c:v>5693.3786489916365</c:v>
                </c:pt>
                <c:pt idx="1">
                  <c:v>10951.419162119297</c:v>
                </c:pt>
                <c:pt idx="2">
                  <c:v>15807.597230570793</c:v>
                </c:pt>
                <c:pt idx="3">
                  <c:v>20292.799510673576</c:v>
                </c:pt>
                <c:pt idx="4">
                  <c:v>24435.525012519596</c:v>
                </c:pt>
                <c:pt idx="5">
                  <c:v>28262.070734109158</c:v>
                </c:pt>
                <c:pt idx="6">
                  <c:v>31796.70278046099</c:v>
                </c:pt>
                <c:pt idx="7">
                  <c:v>35061.814109081373</c:v>
                </c:pt>
                <c:pt idx="8">
                  <c:v>44243.069952921644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36-EB45-BC5E-55018A3F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8540095"/>
        <c:axId val="1868278799"/>
      </c:lineChart>
      <c:catAx>
        <c:axId val="18685400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8278799"/>
        <c:crosses val="autoZero"/>
        <c:auto val="1"/>
        <c:lblAlgn val="ctr"/>
        <c:lblOffset val="100"/>
        <c:noMultiLvlLbl val="0"/>
      </c:catAx>
      <c:valAx>
        <c:axId val="18682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854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488950</xdr:colOff>
      <xdr:row>6</xdr:row>
      <xdr:rowOff>139700</xdr:rowOff>
    </xdr:from>
    <xdr:to>
      <xdr:col>7</xdr:col>
      <xdr:colOff>107950</xdr:colOff>
      <xdr:row>20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C8ACAF9-D23D-9931-84AF-4E18BC588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69850</xdr:colOff>
      <xdr:row>17</xdr:row>
      <xdr:rowOff>101600</xdr:rowOff>
    </xdr:from>
    <xdr:to>
      <xdr:col>12</xdr:col>
      <xdr:colOff>514350</xdr:colOff>
      <xdr:row>31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913F0A-EF51-B34C-0C41-DE8834E4D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196850</xdr:colOff>
      <xdr:row>1</xdr:row>
      <xdr:rowOff>127000</xdr:rowOff>
    </xdr:from>
    <xdr:to>
      <xdr:col>15</xdr:col>
      <xdr:colOff>641350</xdr:colOff>
      <xdr:row>15</xdr:row>
      <xdr:rowOff>25400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DE113D3-4A7F-32B8-8C1D-87AE96374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146050</xdr:colOff>
      <xdr:row>1</xdr:row>
      <xdr:rowOff>38100</xdr:rowOff>
    </xdr:from>
    <xdr:to>
      <xdr:col>12</xdr:col>
      <xdr:colOff>590550</xdr:colOff>
      <xdr:row>14</xdr:row>
      <xdr:rowOff>139700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82F2334-5733-AEDF-330C-71C089CC9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425450</xdr:colOff>
      <xdr:row>7</xdr:row>
      <xdr:rowOff>177800</xdr:rowOff>
    </xdr:from>
    <xdr:to>
      <xdr:col>10</xdr:col>
      <xdr:colOff>1073150</xdr:colOff>
      <xdr:row>21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5DFC6D8-0CA6-9D95-B286-121C6C952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692150</xdr:colOff>
      <xdr:row>7</xdr:row>
      <xdr:rowOff>177800</xdr:rowOff>
    </xdr:from>
    <xdr:to>
      <xdr:col>19</xdr:col>
      <xdr:colOff>311150</xdr:colOff>
      <xdr:row>21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EC9416-7EA8-7CAB-D17A-52BCA0EE8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692150</xdr:colOff>
      <xdr:row>7</xdr:row>
      <xdr:rowOff>177800</xdr:rowOff>
    </xdr:from>
    <xdr:to>
      <xdr:col>12</xdr:col>
      <xdr:colOff>311150</xdr:colOff>
      <xdr:row>21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BAD1482-D5EC-477F-2C65-EFFE57B36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16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3B44A9-4687-FA41-B71D-FDF7D232C797}">
  <we:reference id="wa200008175" version="1.0.0.0" store="en-US" storeType="OMEX"/>
  <we:alternateReferences>
    <we:reference id="wa200008175" version="1.0.0.0" store="en-US" storeType="OMEX"/>
  </we:alternateReferences>
  <we:properties>
    <we:property name="main.py" value="&quot;# First get a token from https:\/\/www.techtonique.net\/token\n# Store it using the dropdown menu &gt; Environment variables\n# Call it TECHTONIQUE_TOKEN and provide the token value\n# Click Restart (or in the dropdown menu)\n# Help for each function is here: https:\/\/docs.techtonique.net\/techtonique_api_py\/techtonique_apis.html\n# Or use Excel help for the function\n# If you suddenly get VALUE error check if token is still valid (https:\/\/www.techtonique.net\/token)\n# Type =TECHTO_ in a cell\nfrom techtonique_apis import techto_forecast\nfrom techtonique_apis import techto_mlclassification\nfrom techtonique_apis import techto_mlregression\nfrom techtonique_apis import techto_reserving, techto_mlreserving\nfrom techtonique_apis import techto_simulation\nfrom techtonique_apis import techto_survival\n&quot;"/>
    <we:property name="pyodideVersion" value="&quot;0.27.5&quot;"/>
    <we:property name="addinVersion" value="&quot;1.0.0.0-66&quot;"/>
    <we:property name="requirements.txt" value="&quot;xlwings  # required\npython-dotenv==1.1.0  # required\npyodide-http  # required\nblack  # required\nseaborn\npytest\ntechtonique_apis==0.9.1&quot;"/>
    <we:property name="xlwingsSettingsWorkbook" value="&quot;{\&quot;startupBehavior\&quot;:\&quot;taskpane\&quot;,\&quot;workbookMode\&quot;:\&quot;developer\&quot;,\&quot;pyodideVersion\&quot;:\&quot;0.27.5\&quot;}&quot;"/>
    <we:property name="xlwingsWorkbookId" value="&quot;05bb685f-a218-45eb-96fe-bbd3afc5fb2f&quot;"/>
    <we:property name="notebook.py" value="&quot;# %% Imports\nimport pandas as pd\nimport seaborn as sns\nimport xlwings as xw\nfrom packaging.version import Version  # type: ignore\n\n# %% Update your requirements.txt if necessary (requires restart)\nif Version(xw.__version__) &lt; Version(\&quot;0.35.0\&quot;):\n    raise ImportError(f\&quot;xlwings &gt;= 0.35.0 required, but found {xw.__version__}\&quot;)\n\n# %% Load the penguins dataset\nurl = \&quot;https:\/\/raw.githubusercontent.com\/mwaskom\/seaborn-data\/master\/penguins.csv\&quot;\ndf = pd.read_csv(url)\ndf\n\n# %% Write to Excel\nbook = xw.books.active\nsheet = book.sheets.add()\nsheet[\&quot;A1\&quot;].value = df.dropna()\nsheet.activate()\n\n# %% Read back from Excel\nawait sheet.load()\ndata = sheet[\&quot;A1\&quot;].options(pd.DataFrame, expand=\&quot;table\&quot;).value\ndata\n\n# %% Plot\nsns.jointplot(data=data, x=\&quot;flipper_length_mm\&quot;, y=\&quot;bill_length_mm\&quot;, hue=\&quot;species\&quot;)\n\n&quot;"/>
    <we:property name="pyproject.toml" value="&quot;# RESTART AFTER MAKING CHANGES\n\n# Ruff: linter &amp; code formatter\n[tool.ruff]\nfix = true\npreview = true\n\n# Ty: type checker &amp; language server\n[tool.ty.rules]\n&quot;"/>
    <we:property name="tests.py" value="&quot;# Write pytest tests here.\n\ndef test_example():\n    assert 1 + 1 == 2\n&quot;"/>
    <we:property name="xlwingsEnvVars" value="&quot;{\&quot;TECHTONIQUE_TOKEN\&quot;:\&quot;eyJhbGciOiJIUzI1NiIsInR5cCI6IkpXVCJ9.eyJzdWIiOiI1NGY3ZDE3Ny05OWQ0LTQzNDktOTc1OC0zZTBkOGVkYWZkYWUiLCJlbWFpbCI6InRoaWVycnkubW91ZGlraS50ZWNodG9uaXF1ZUBnbWFpbC5jb20iLCJleHAiOjE3Nzg1NjYyNTJ9.32ZTvj4SDXZ7RSnv0jgcmMQpHzVRVRCuZxFmpYt9Vo4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_xldudf_WINGMAN</we:customFunctionIds>
        <we:customFunctionIds>_xldudf_TECHTO_FORECAST</we:customFunctionIds>
        <we:customFunctionIds>_xldudf_TECHTO_MLCLASSIFICATION</we:customFunctionIds>
        <we:customFunctionIds>_xldudf_TECHTO_MLREGRESSION</we:customFunctionIds>
        <we:customFunctionIds>_xldudf_TECHTO_MLRESERVING</we:customFunctionIds>
        <we:customFunctionIds>_xldudf_TECHTO_SURVIVAL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19A5-3951-E549-ADD2-8FDDD83D6EF1}">
  <dimension ref="B2:V45"/>
  <sheetViews>
    <sheetView workbookViewId="0">
      <selection activeCell="A18" sqref="A18"/>
    </sheetView>
  </sheetViews>
  <sheetFormatPr baseColWidth="10" defaultRowHeight="16" x14ac:dyDescent="0.2"/>
  <sheetData>
    <row r="2" spans="2:22" x14ac:dyDescent="0.2">
      <c r="B2" s="2" t="s">
        <v>1181</v>
      </c>
    </row>
    <row r="3" spans="2:22" x14ac:dyDescent="0.2">
      <c r="B3" s="3" cm="1">
        <f t="array" ref="B3:V23">_xldudf_TECHTO_SIMULATION("GBM", 20, 5, "quarterly", 100,0.1,0.1,0.1,123)</f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</row>
    <row r="4" spans="2:22" x14ac:dyDescent="0.2">
      <c r="B4">
        <v>100</v>
      </c>
      <c r="C4">
        <v>99.573533728371103</v>
      </c>
      <c r="D4">
        <v>100.79991669377846</v>
      </c>
      <c r="E4">
        <v>111.58905201307144</v>
      </c>
      <c r="F4">
        <v>114.67457845338372</v>
      </c>
      <c r="G4">
        <v>118.19227543929134</v>
      </c>
      <c r="H4">
        <v>131.86992242717938</v>
      </c>
      <c r="I4">
        <v>138.18754867641815</v>
      </c>
      <c r="J4">
        <v>132.83513185227972</v>
      </c>
      <c r="K4">
        <v>131.43548285451658</v>
      </c>
      <c r="L4">
        <v>131.62842724141882</v>
      </c>
      <c r="M4">
        <v>143.29953614932884</v>
      </c>
      <c r="N4">
        <v>149.40754736511315</v>
      </c>
      <c r="O4">
        <v>156.09524437196202</v>
      </c>
      <c r="P4">
        <v>160.73394741773447</v>
      </c>
      <c r="Q4">
        <v>160.08556296874934</v>
      </c>
      <c r="R4">
        <v>179.25405436020631</v>
      </c>
      <c r="S4">
        <v>188.18897075888745</v>
      </c>
      <c r="T4">
        <v>174.66428564749995</v>
      </c>
      <c r="U4">
        <v>185.24579388590257</v>
      </c>
      <c r="V4">
        <v>185.26625163689289</v>
      </c>
    </row>
    <row r="5" spans="2:22" x14ac:dyDescent="0.2">
      <c r="B5">
        <v>100</v>
      </c>
      <c r="C5">
        <v>97.079380615106118</v>
      </c>
      <c r="D5">
        <v>98.335023430796241</v>
      </c>
      <c r="E5">
        <v>95.662850164079885</v>
      </c>
      <c r="F5">
        <v>94.456127843553304</v>
      </c>
      <c r="G5">
        <v>93.750172765746498</v>
      </c>
      <c r="H5">
        <v>88.238982351691774</v>
      </c>
      <c r="I5">
        <v>94.225250188234739</v>
      </c>
      <c r="J5">
        <v>97.23267818291356</v>
      </c>
      <c r="K5">
        <v>94.061610969575085</v>
      </c>
      <c r="L5">
        <v>102.55412925348644</v>
      </c>
      <c r="M5">
        <v>107.28233031493065</v>
      </c>
      <c r="N5">
        <v>108.251842377355</v>
      </c>
      <c r="O5">
        <v>115.92769403147511</v>
      </c>
      <c r="P5">
        <v>124.04238774171094</v>
      </c>
      <c r="Q5">
        <v>132.350326802686</v>
      </c>
      <c r="R5">
        <v>140.27915626516435</v>
      </c>
      <c r="S5">
        <v>147.68480300505604</v>
      </c>
      <c r="T5">
        <v>150.76686566947205</v>
      </c>
      <c r="U5">
        <v>152.046527285086</v>
      </c>
      <c r="V5">
        <v>152.76686857380528</v>
      </c>
    </row>
    <row r="6" spans="2:22" x14ac:dyDescent="0.2">
      <c r="B6">
        <v>100</v>
      </c>
      <c r="C6">
        <v>98.907476965705044</v>
      </c>
      <c r="D6">
        <v>100.23715949458661</v>
      </c>
      <c r="E6">
        <v>96.353060192263001</v>
      </c>
      <c r="F6">
        <v>109.97102849997732</v>
      </c>
      <c r="G6">
        <v>119.62538327573203</v>
      </c>
      <c r="H6">
        <v>115.81100840704008</v>
      </c>
      <c r="I6">
        <v>116.22934866797932</v>
      </c>
      <c r="J6">
        <v>116.277853426814</v>
      </c>
      <c r="K6">
        <v>123.8078628873311</v>
      </c>
      <c r="L6">
        <v>126.25610428157876</v>
      </c>
      <c r="M6">
        <v>130.93857805412972</v>
      </c>
      <c r="N6">
        <v>133.89434324176781</v>
      </c>
      <c r="O6">
        <v>136.81880823002049</v>
      </c>
      <c r="P6">
        <v>150.03034850529042</v>
      </c>
      <c r="Q6">
        <v>151.91164177584901</v>
      </c>
      <c r="R6">
        <v>167.81674457477428</v>
      </c>
      <c r="S6">
        <v>159.04464321178972</v>
      </c>
      <c r="T6">
        <v>167.69814799513355</v>
      </c>
      <c r="U6">
        <v>172.7954175829739</v>
      </c>
      <c r="V6">
        <v>178.86930792349568</v>
      </c>
    </row>
    <row r="7" spans="2:22" x14ac:dyDescent="0.2">
      <c r="B7">
        <v>100</v>
      </c>
      <c r="C7">
        <v>104.36581299902488</v>
      </c>
      <c r="D7">
        <v>104.22332863042574</v>
      </c>
      <c r="E7">
        <v>104.96485903533926</v>
      </c>
      <c r="F7">
        <v>102.15046252278005</v>
      </c>
      <c r="G7">
        <v>99.147365901295558</v>
      </c>
      <c r="H7">
        <v>103.08292071979383</v>
      </c>
      <c r="I7">
        <v>107.95281233371992</v>
      </c>
      <c r="J7">
        <v>110.84074264727418</v>
      </c>
      <c r="K7">
        <v>118.86136257150751</v>
      </c>
      <c r="L7">
        <v>134.85660487684777</v>
      </c>
      <c r="M7">
        <v>134.74855275634008</v>
      </c>
      <c r="N7">
        <v>122.94068775998213</v>
      </c>
      <c r="O7">
        <v>132.38825776042052</v>
      </c>
      <c r="P7">
        <v>130.84702775697377</v>
      </c>
      <c r="Q7">
        <v>129.46084536231425</v>
      </c>
      <c r="R7">
        <v>139.54777998785499</v>
      </c>
      <c r="S7">
        <v>140.88139992470499</v>
      </c>
      <c r="T7">
        <v>135.72523558288708</v>
      </c>
      <c r="U7">
        <v>140.25296563324673</v>
      </c>
      <c r="V7">
        <v>142.62989400556123</v>
      </c>
    </row>
    <row r="8" spans="2:22" x14ac:dyDescent="0.2">
      <c r="B8">
        <v>100</v>
      </c>
      <c r="C8">
        <v>102.43294560492537</v>
      </c>
      <c r="D8">
        <v>106.93513282422779</v>
      </c>
      <c r="E8">
        <v>107.49447100676164</v>
      </c>
      <c r="F8">
        <v>113.68235972423091</v>
      </c>
      <c r="G8">
        <v>115.13828832272914</v>
      </c>
      <c r="H8">
        <v>119.87781446751534</v>
      </c>
      <c r="I8">
        <v>129.67936256090317</v>
      </c>
      <c r="J8">
        <v>135.71729873250715</v>
      </c>
      <c r="K8">
        <v>136.73263602696932</v>
      </c>
      <c r="L8">
        <v>148.29712137394424</v>
      </c>
      <c r="M8">
        <v>159.5955864679616</v>
      </c>
      <c r="N8">
        <v>167.97461703306053</v>
      </c>
      <c r="O8">
        <v>174.07730212684129</v>
      </c>
      <c r="P8">
        <v>172.75150279420905</v>
      </c>
      <c r="Q8">
        <v>189.35750407622649</v>
      </c>
      <c r="R8">
        <v>188.17526796165004</v>
      </c>
      <c r="S8">
        <v>214.9682740267198</v>
      </c>
      <c r="T8">
        <v>237.66710733336811</v>
      </c>
      <c r="U8">
        <v>240.52787036543887</v>
      </c>
      <c r="V8">
        <v>233.98685133706641</v>
      </c>
    </row>
    <row r="9" spans="2:22" x14ac:dyDescent="0.2">
      <c r="B9">
        <v>100</v>
      </c>
      <c r="C9">
        <v>98.829867114757107</v>
      </c>
      <c r="D9">
        <v>102.51345346278356</v>
      </c>
      <c r="E9">
        <v>103.69039099163442</v>
      </c>
      <c r="F9">
        <v>104.35330647028208</v>
      </c>
      <c r="G9">
        <v>101.89586811784882</v>
      </c>
      <c r="H9">
        <v>104.110205334022</v>
      </c>
      <c r="I9">
        <v>102.50942866170573</v>
      </c>
      <c r="J9">
        <v>96.573819465689184</v>
      </c>
      <c r="K9">
        <v>97.032537310464676</v>
      </c>
      <c r="L9">
        <v>104.0369566997432</v>
      </c>
      <c r="M9">
        <v>103.51627438406751</v>
      </c>
      <c r="N9">
        <v>109.27602895267847</v>
      </c>
      <c r="O9">
        <v>103.20661207270754</v>
      </c>
      <c r="P9">
        <v>105.39390669474059</v>
      </c>
      <c r="Q9">
        <v>110.76658876400076</v>
      </c>
      <c r="R9">
        <v>115.14968048563129</v>
      </c>
      <c r="S9">
        <v>118.54192093777732</v>
      </c>
      <c r="T9">
        <v>117.5638230237506</v>
      </c>
      <c r="U9">
        <v>115.38174394242478</v>
      </c>
      <c r="V9">
        <v>112.25686736582304</v>
      </c>
    </row>
    <row r="10" spans="2:22" x14ac:dyDescent="0.2">
      <c r="B10">
        <v>100</v>
      </c>
      <c r="C10">
        <v>103.00757362261837</v>
      </c>
      <c r="D10">
        <v>100.60266869869952</v>
      </c>
      <c r="E10">
        <v>100.524443109678</v>
      </c>
      <c r="F10">
        <v>101.63076590579809</v>
      </c>
      <c r="G10">
        <v>114.1244367586099</v>
      </c>
      <c r="H10">
        <v>113.11917494729876</v>
      </c>
      <c r="I10">
        <v>117.20930135955857</v>
      </c>
      <c r="J10">
        <v>120.49512306332826</v>
      </c>
      <c r="K10">
        <v>117.59734373260736</v>
      </c>
      <c r="L10">
        <v>119.99511619699724</v>
      </c>
      <c r="M10">
        <v>132.08274556291957</v>
      </c>
      <c r="N10">
        <v>138.34544599938084</v>
      </c>
      <c r="O10">
        <v>141.96285448825793</v>
      </c>
      <c r="P10">
        <v>142.33601905954242</v>
      </c>
      <c r="Q10">
        <v>131.53569143880387</v>
      </c>
      <c r="R10">
        <v>142.53607039360125</v>
      </c>
      <c r="S10">
        <v>135.68188836086026</v>
      </c>
      <c r="T10">
        <v>144.17970389324699</v>
      </c>
      <c r="U10">
        <v>162.43300562833062</v>
      </c>
      <c r="V10">
        <v>154.75155897361552</v>
      </c>
    </row>
    <row r="11" spans="2:22" x14ac:dyDescent="0.2">
      <c r="B11">
        <v>100</v>
      </c>
      <c r="C11">
        <v>106.06046995797544</v>
      </c>
      <c r="D11">
        <v>107.19499169547601</v>
      </c>
      <c r="E11">
        <v>101.47295607099824</v>
      </c>
      <c r="F11">
        <v>96.33280718098672</v>
      </c>
      <c r="G11">
        <v>91.056676284605857</v>
      </c>
      <c r="H11">
        <v>90.80249860030024</v>
      </c>
      <c r="I11">
        <v>86.431226090740154</v>
      </c>
      <c r="J11">
        <v>91.605825081604138</v>
      </c>
      <c r="K11">
        <v>104.19355855084665</v>
      </c>
      <c r="L11">
        <v>100.04787140355346</v>
      </c>
      <c r="M11">
        <v>106.56826096416737</v>
      </c>
      <c r="N11">
        <v>113.40753552236735</v>
      </c>
      <c r="O11">
        <v>118.07830060436876</v>
      </c>
      <c r="P11">
        <v>114.97090983805916</v>
      </c>
      <c r="Q11">
        <v>117.03306574818896</v>
      </c>
      <c r="R11">
        <v>118.17738298328054</v>
      </c>
      <c r="S11">
        <v>124.47267551043019</v>
      </c>
      <c r="T11">
        <v>125.11261856350814</v>
      </c>
      <c r="U11">
        <v>134.53346110276803</v>
      </c>
      <c r="V11">
        <v>135.21064647775532</v>
      </c>
    </row>
    <row r="12" spans="2:22" x14ac:dyDescent="0.2">
      <c r="B12">
        <v>100</v>
      </c>
      <c r="C12">
        <v>107.9378673508125</v>
      </c>
      <c r="D12">
        <v>104.88315373430056</v>
      </c>
      <c r="E12">
        <v>100.8454499821581</v>
      </c>
      <c r="F12">
        <v>121.43645762204989</v>
      </c>
      <c r="G12">
        <v>121.79000169725668</v>
      </c>
      <c r="H12">
        <v>126.59077548806265</v>
      </c>
      <c r="I12">
        <v>133.8256893389312</v>
      </c>
      <c r="J12">
        <v>133.76694856997736</v>
      </c>
      <c r="K12">
        <v>140.56811818798317</v>
      </c>
      <c r="L12">
        <v>146.62677675966142</v>
      </c>
      <c r="M12">
        <v>148.54254257944569</v>
      </c>
      <c r="N12">
        <v>152.6100615635836</v>
      </c>
      <c r="O12">
        <v>156.0119626901085</v>
      </c>
      <c r="P12">
        <v>177.70151898798133</v>
      </c>
      <c r="Q12">
        <v>175.35078938739315</v>
      </c>
      <c r="R12">
        <v>169.98983905578521</v>
      </c>
      <c r="S12">
        <v>174.40463447780306</v>
      </c>
      <c r="T12">
        <v>181.39049212347231</v>
      </c>
      <c r="U12">
        <v>189.84886274538212</v>
      </c>
      <c r="V12">
        <v>190.00683206379895</v>
      </c>
    </row>
    <row r="13" spans="2:22" x14ac:dyDescent="0.2">
      <c r="B13">
        <v>100</v>
      </c>
      <c r="C13">
        <v>97.101214145238515</v>
      </c>
      <c r="D13">
        <v>105.9177805655434</v>
      </c>
      <c r="E13">
        <v>106.58370284831685</v>
      </c>
      <c r="F13">
        <v>104.52277346572022</v>
      </c>
      <c r="G13">
        <v>105.77783486198292</v>
      </c>
      <c r="H13">
        <v>107.25746964249714</v>
      </c>
      <c r="I13">
        <v>116.10305674205448</v>
      </c>
      <c r="J13">
        <v>119.3983141479258</v>
      </c>
      <c r="K13">
        <v>126.96580151081145</v>
      </c>
      <c r="L13">
        <v>126.81168235485852</v>
      </c>
      <c r="M13">
        <v>131.25938916054383</v>
      </c>
      <c r="N13">
        <v>132.24961238394587</v>
      </c>
      <c r="O13">
        <v>136.07011661282624</v>
      </c>
      <c r="P13">
        <v>133.24001798529457</v>
      </c>
      <c r="Q13">
        <v>127.78664939302192</v>
      </c>
      <c r="R13">
        <v>144.60020694530607</v>
      </c>
      <c r="S13">
        <v>152.59054873913925</v>
      </c>
      <c r="T13">
        <v>146.78143065198182</v>
      </c>
      <c r="U13">
        <v>145.7854934138814</v>
      </c>
      <c r="V13">
        <v>140.69751663860848</v>
      </c>
    </row>
    <row r="14" spans="2:22" x14ac:dyDescent="0.2">
      <c r="B14">
        <v>100</v>
      </c>
      <c r="C14">
        <v>114.30390142636448</v>
      </c>
      <c r="D14">
        <v>124.98970229315084</v>
      </c>
      <c r="E14">
        <v>126.3080923081523</v>
      </c>
      <c r="F14">
        <v>132.90489568248839</v>
      </c>
      <c r="G14">
        <v>133.30860849871374</v>
      </c>
      <c r="H14">
        <v>133.30029766847733</v>
      </c>
      <c r="I14">
        <v>131.22643183306826</v>
      </c>
      <c r="J14">
        <v>130.44392683365959</v>
      </c>
      <c r="K14">
        <v>145.0732559592644</v>
      </c>
      <c r="L14">
        <v>148.15920752438879</v>
      </c>
      <c r="M14">
        <v>152.62740409033961</v>
      </c>
      <c r="N14">
        <v>158.21170724405849</v>
      </c>
      <c r="O14">
        <v>172.31218303880129</v>
      </c>
      <c r="P14">
        <v>171.95875607188893</v>
      </c>
      <c r="Q14">
        <v>167.56633458830709</v>
      </c>
      <c r="R14">
        <v>186.59008405337497</v>
      </c>
      <c r="S14">
        <v>186.90603165436093</v>
      </c>
      <c r="T14">
        <v>184.6020980774997</v>
      </c>
      <c r="U14">
        <v>177.70751623509415</v>
      </c>
      <c r="V14">
        <v>170.65658211876328</v>
      </c>
    </row>
    <row r="15" spans="2:22" x14ac:dyDescent="0.2">
      <c r="B15">
        <v>100</v>
      </c>
      <c r="C15">
        <v>99.506355054874902</v>
      </c>
      <c r="D15">
        <v>105.09564106774822</v>
      </c>
      <c r="E15">
        <v>113.76253047976836</v>
      </c>
      <c r="F15">
        <v>120.69209433846262</v>
      </c>
      <c r="G15">
        <v>121.36587731885002</v>
      </c>
      <c r="H15">
        <v>124.6546681756478</v>
      </c>
      <c r="I15">
        <v>123.23183717585307</v>
      </c>
      <c r="J15">
        <v>121.74838880876304</v>
      </c>
      <c r="K15">
        <v>130.31297449829259</v>
      </c>
      <c r="L15">
        <v>126.83784051919233</v>
      </c>
      <c r="M15">
        <v>143.22604587146719</v>
      </c>
      <c r="N15">
        <v>146.00752228287482</v>
      </c>
      <c r="O15">
        <v>151.12919759492229</v>
      </c>
      <c r="P15">
        <v>149.1509229430954</v>
      </c>
      <c r="Q15">
        <v>148.41156581763164</v>
      </c>
      <c r="R15">
        <v>142.29302074916089</v>
      </c>
      <c r="S15">
        <v>144.38627716205212</v>
      </c>
      <c r="T15">
        <v>150.98663284410279</v>
      </c>
      <c r="U15">
        <v>157.14304825416141</v>
      </c>
      <c r="V15">
        <v>154.75290777607515</v>
      </c>
    </row>
    <row r="16" spans="2:22" x14ac:dyDescent="0.2">
      <c r="B16">
        <v>100</v>
      </c>
      <c r="C16">
        <v>98.444120973909847</v>
      </c>
      <c r="D16">
        <v>98.310334269257282</v>
      </c>
      <c r="E16">
        <v>108.49262355710304</v>
      </c>
      <c r="F16">
        <v>104.9587067739228</v>
      </c>
      <c r="G16">
        <v>106.52337283051382</v>
      </c>
      <c r="H16">
        <v>119.96889674000336</v>
      </c>
      <c r="I16">
        <v>122.23357592721072</v>
      </c>
      <c r="J16">
        <v>116.94359632832992</v>
      </c>
      <c r="K16">
        <v>115.83922798615028</v>
      </c>
      <c r="L16">
        <v>121.53791395019439</v>
      </c>
      <c r="M16">
        <v>122.14344338250211</v>
      </c>
      <c r="N16">
        <v>121.61402515359416</v>
      </c>
      <c r="O16">
        <v>122.41371807922222</v>
      </c>
      <c r="P16">
        <v>125.92434271528528</v>
      </c>
      <c r="Q16">
        <v>139.68036574303264</v>
      </c>
      <c r="R16">
        <v>142.40547623090606</v>
      </c>
      <c r="S16">
        <v>153.92545545342745</v>
      </c>
      <c r="T16">
        <v>162.67529120887806</v>
      </c>
      <c r="U16">
        <v>165.64122276786782</v>
      </c>
      <c r="V16">
        <v>157.10730458534528</v>
      </c>
    </row>
    <row r="17" spans="2:22" x14ac:dyDescent="0.2">
      <c r="B17">
        <v>100</v>
      </c>
      <c r="C17">
        <v>99.769679058888599</v>
      </c>
      <c r="D17">
        <v>99.695525612834075</v>
      </c>
      <c r="E17">
        <v>102.33262316011984</v>
      </c>
      <c r="F17">
        <v>111.83096084020332</v>
      </c>
      <c r="G17">
        <v>128.43107789716333</v>
      </c>
      <c r="H17">
        <v>142.09863861926837</v>
      </c>
      <c r="I17">
        <v>144.54832871344047</v>
      </c>
      <c r="J17">
        <v>135.57670064912892</v>
      </c>
      <c r="K17">
        <v>136.1624343709463</v>
      </c>
      <c r="L17">
        <v>140.05831961839183</v>
      </c>
      <c r="M17">
        <v>149.61413625732439</v>
      </c>
      <c r="N17">
        <v>160.76375919438675</v>
      </c>
      <c r="O17">
        <v>170.35788407632518</v>
      </c>
      <c r="P17">
        <v>162.69669607730737</v>
      </c>
      <c r="Q17">
        <v>173.83730958838453</v>
      </c>
      <c r="R17">
        <v>174.0847063116494</v>
      </c>
      <c r="S17">
        <v>179.8336278319091</v>
      </c>
      <c r="T17">
        <v>184.8435316800996</v>
      </c>
      <c r="U17">
        <v>193.38210122049361</v>
      </c>
      <c r="V17">
        <v>198.27437026520272</v>
      </c>
    </row>
    <row r="18" spans="2:22" x14ac:dyDescent="0.2">
      <c r="B18">
        <v>100</v>
      </c>
      <c r="C18">
        <v>94.211893456151245</v>
      </c>
      <c r="D18">
        <v>100.09514957445252</v>
      </c>
      <c r="E18">
        <v>104.49848333563638</v>
      </c>
      <c r="F18">
        <v>105.59805753003656</v>
      </c>
      <c r="G18">
        <v>108.77670489251918</v>
      </c>
      <c r="H18">
        <v>112.14011703231228</v>
      </c>
      <c r="I18">
        <v>116.11140379126761</v>
      </c>
      <c r="J18">
        <v>129.06838962968123</v>
      </c>
      <c r="K18">
        <v>130.73075425260905</v>
      </c>
      <c r="L18">
        <v>135.00248238363395</v>
      </c>
      <c r="M18">
        <v>146.56402444979983</v>
      </c>
      <c r="N18">
        <v>158.20970678297343</v>
      </c>
      <c r="O18">
        <v>171.56025853921537</v>
      </c>
      <c r="P18">
        <v>170.68353452323802</v>
      </c>
      <c r="Q18">
        <v>193.19215263056481</v>
      </c>
      <c r="R18">
        <v>198.49627746883445</v>
      </c>
      <c r="S18">
        <v>223.15418361209072</v>
      </c>
      <c r="T18">
        <v>213.59203233322964</v>
      </c>
      <c r="U18">
        <v>218.95516523371913</v>
      </c>
      <c r="V18">
        <v>238.67736732444504</v>
      </c>
    </row>
    <row r="19" spans="2:22" x14ac:dyDescent="0.2">
      <c r="B19">
        <v>100</v>
      </c>
      <c r="C19">
        <v>98.805974801717113</v>
      </c>
      <c r="D19">
        <v>97.443588221422701</v>
      </c>
      <c r="E19">
        <v>95.211115366749482</v>
      </c>
      <c r="F19">
        <v>92.501145578006046</v>
      </c>
      <c r="G19">
        <v>92.676325574569745</v>
      </c>
      <c r="H19">
        <v>96.488324468150523</v>
      </c>
      <c r="I19">
        <v>89.341087295652642</v>
      </c>
      <c r="J19">
        <v>92.463179686596845</v>
      </c>
      <c r="K19">
        <v>100.72502307345177</v>
      </c>
      <c r="L19">
        <v>114.20818430392424</v>
      </c>
      <c r="M19">
        <v>124.8148901194958</v>
      </c>
      <c r="N19">
        <v>132.74373949048476</v>
      </c>
      <c r="O19">
        <v>124.69041420824362</v>
      </c>
      <c r="P19">
        <v>123.9041946896226</v>
      </c>
      <c r="Q19">
        <v>124.66826389767424</v>
      </c>
      <c r="R19">
        <v>132.23524768432361</v>
      </c>
      <c r="S19">
        <v>134.69984720975759</v>
      </c>
      <c r="T19">
        <v>129.52404216766567</v>
      </c>
      <c r="U19">
        <v>144.29189595534777</v>
      </c>
      <c r="V19">
        <v>154.64897445365577</v>
      </c>
    </row>
    <row r="20" spans="2:22" x14ac:dyDescent="0.2">
      <c r="B20">
        <v>100</v>
      </c>
      <c r="C20">
        <v>103.62635606191094</v>
      </c>
      <c r="D20">
        <v>112.78091484686382</v>
      </c>
      <c r="E20">
        <v>108.01373724703248</v>
      </c>
      <c r="F20">
        <v>114.32547572018257</v>
      </c>
      <c r="G20">
        <v>114.05192325398048</v>
      </c>
      <c r="H20">
        <v>120.8549526292325</v>
      </c>
      <c r="I20">
        <v>123.3838206959376</v>
      </c>
      <c r="J20">
        <v>130.41191602169886</v>
      </c>
      <c r="K20">
        <v>142.76842422821559</v>
      </c>
      <c r="L20">
        <v>146.25306031457811</v>
      </c>
      <c r="M20">
        <v>157.5852123836568</v>
      </c>
      <c r="N20">
        <v>152.06295933092781</v>
      </c>
      <c r="O20">
        <v>150.19950131569314</v>
      </c>
      <c r="P20">
        <v>165.94813582653728</v>
      </c>
      <c r="Q20">
        <v>173.17362490959016</v>
      </c>
      <c r="R20">
        <v>160.04156494266053</v>
      </c>
      <c r="S20">
        <v>153.08321918785958</v>
      </c>
      <c r="T20">
        <v>155.19659048831255</v>
      </c>
      <c r="U20">
        <v>165.9574797102027</v>
      </c>
      <c r="V20">
        <v>169.08261581245287</v>
      </c>
    </row>
    <row r="21" spans="2:22" x14ac:dyDescent="0.2">
      <c r="B21">
        <v>100</v>
      </c>
      <c r="C21">
        <v>105.64976921068578</v>
      </c>
      <c r="D21">
        <v>113.50306358307124</v>
      </c>
      <c r="E21">
        <v>126.3596959766612</v>
      </c>
      <c r="F21">
        <v>129.75958687314505</v>
      </c>
      <c r="G21">
        <v>132.53334992147859</v>
      </c>
      <c r="H21">
        <v>124.32790162003091</v>
      </c>
      <c r="I21">
        <v>127.949905370498</v>
      </c>
      <c r="J21">
        <v>127.33180536674487</v>
      </c>
      <c r="K21">
        <v>124.1941219380696</v>
      </c>
      <c r="L21">
        <v>126.04015282954256</v>
      </c>
      <c r="M21">
        <v>135.78838592312212</v>
      </c>
      <c r="N21">
        <v>125.86504526721581</v>
      </c>
      <c r="O21">
        <v>126.16572232145272</v>
      </c>
      <c r="P21">
        <v>129.95369094044855</v>
      </c>
      <c r="Q21">
        <v>127.26452381077669</v>
      </c>
      <c r="R21">
        <v>132.51726410624968</v>
      </c>
      <c r="S21">
        <v>138.52273005894364</v>
      </c>
      <c r="T21">
        <v>141.61790487837922</v>
      </c>
      <c r="U21">
        <v>128.19950847861992</v>
      </c>
      <c r="V21">
        <v>149.29297010735598</v>
      </c>
    </row>
    <row r="22" spans="2:22" x14ac:dyDescent="0.2">
      <c r="B22">
        <v>100</v>
      </c>
      <c r="C22">
        <v>101.35763703218218</v>
      </c>
      <c r="D22">
        <v>107.22880192182951</v>
      </c>
      <c r="E22">
        <v>111.31936270464288</v>
      </c>
      <c r="F22">
        <v>119.98741634440272</v>
      </c>
      <c r="G22">
        <v>127.99866648834112</v>
      </c>
      <c r="H22">
        <v>129.70727584511388</v>
      </c>
      <c r="I22">
        <v>135.36009204437107</v>
      </c>
      <c r="J22">
        <v>132.21351244015324</v>
      </c>
      <c r="K22">
        <v>141.3182281907398</v>
      </c>
      <c r="L22">
        <v>141.41691449292287</v>
      </c>
      <c r="M22">
        <v>163.41631682139402</v>
      </c>
      <c r="N22">
        <v>154.08410517026127</v>
      </c>
      <c r="O22">
        <v>154.16897307450907</v>
      </c>
      <c r="P22">
        <v>164.52593573062626</v>
      </c>
      <c r="Q22">
        <v>172.83283386925945</v>
      </c>
      <c r="R22">
        <v>171.84635577311602</v>
      </c>
      <c r="S22">
        <v>167.42102710302271</v>
      </c>
      <c r="T22">
        <v>172.68783547229037</v>
      </c>
      <c r="U22">
        <v>176.71180313308045</v>
      </c>
      <c r="V22">
        <v>165.46440775649802</v>
      </c>
    </row>
    <row r="23" spans="2:22" x14ac:dyDescent="0.2">
      <c r="B23">
        <v>100</v>
      </c>
      <c r="C23">
        <v>102.58048801357688</v>
      </c>
      <c r="D23">
        <v>106.04984878539756</v>
      </c>
      <c r="E23">
        <v>109.55158946558156</v>
      </c>
      <c r="F23">
        <v>106.4201270315164</v>
      </c>
      <c r="G23">
        <v>111.60338564005188</v>
      </c>
      <c r="H23">
        <v>122.44107497089188</v>
      </c>
      <c r="I23">
        <v>128.27696479583608</v>
      </c>
      <c r="J23">
        <v>124.10925796221755</v>
      </c>
      <c r="K23">
        <v>124.3537114698655</v>
      </c>
      <c r="L23">
        <v>129.56532547135166</v>
      </c>
      <c r="M23">
        <v>128.45554821224547</v>
      </c>
      <c r="N23">
        <v>118.09041967075279</v>
      </c>
      <c r="O23">
        <v>126.39515375470856</v>
      </c>
      <c r="P23">
        <v>124.1746770032282</v>
      </c>
      <c r="Q23">
        <v>123.56424785076352</v>
      </c>
      <c r="R23">
        <v>136.41562297088825</v>
      </c>
      <c r="S23">
        <v>134.39040447699915</v>
      </c>
      <c r="T23">
        <v>143.56467166339422</v>
      </c>
      <c r="U23">
        <v>138.03419762692147</v>
      </c>
      <c r="V23">
        <v>138.86806964867623</v>
      </c>
    </row>
    <row r="24" spans="2:22" x14ac:dyDescent="0.2">
      <c r="B24" s="2" t="s">
        <v>1182</v>
      </c>
    </row>
    <row r="25" spans="2:22" x14ac:dyDescent="0.2">
      <c r="B25" s="3" cm="1">
        <f t="array" ref="B25:V45">_xldudf_TECHTO_SIMULATION("CIR", 20, 5, "quarterly", 100,0.1,0.1,0.5,123)</f>
        <v>0</v>
      </c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I25">
        <v>7</v>
      </c>
      <c r="J25">
        <v>8</v>
      </c>
      <c r="K25">
        <v>9</v>
      </c>
      <c r="L25">
        <v>10</v>
      </c>
      <c r="M25">
        <v>11</v>
      </c>
      <c r="N25">
        <v>12</v>
      </c>
      <c r="O25">
        <v>13</v>
      </c>
      <c r="P25">
        <v>14</v>
      </c>
      <c r="Q25">
        <v>15</v>
      </c>
      <c r="R25">
        <v>16</v>
      </c>
      <c r="S25">
        <v>17</v>
      </c>
      <c r="T25">
        <v>18</v>
      </c>
      <c r="U25">
        <v>19</v>
      </c>
      <c r="V25">
        <v>20</v>
      </c>
    </row>
    <row r="26" spans="2:22" x14ac:dyDescent="0.2">
      <c r="B26">
        <v>100</v>
      </c>
      <c r="C26">
        <v>96.16134599241424</v>
      </c>
      <c r="D26">
        <v>93.234702425189241</v>
      </c>
      <c r="E26">
        <v>94.673320997204883</v>
      </c>
      <c r="F26">
        <v>92.539273374048278</v>
      </c>
      <c r="G26">
        <v>90.579432593768644</v>
      </c>
      <c r="H26">
        <v>92.394290593192338</v>
      </c>
      <c r="I26">
        <v>91.203425048824343</v>
      </c>
      <c r="J26">
        <v>86.012343328604786</v>
      </c>
      <c r="K26">
        <v>82.355145325406994</v>
      </c>
      <c r="L26">
        <v>79.336589891745064</v>
      </c>
      <c r="M26">
        <v>80.105536162349367</v>
      </c>
      <c r="N26">
        <v>78.922472658698496</v>
      </c>
      <c r="O26">
        <v>77.856615027078178</v>
      </c>
      <c r="P26">
        <v>76.189744388412009</v>
      </c>
      <c r="Q26">
        <v>73.14448692548909</v>
      </c>
      <c r="R26">
        <v>75.140210162760368</v>
      </c>
      <c r="S26">
        <v>74.348276693839907</v>
      </c>
      <c r="T26">
        <v>68.412590255712288</v>
      </c>
      <c r="U26">
        <v>68.154652391211258</v>
      </c>
      <c r="V26">
        <v>65.517853096556038</v>
      </c>
    </row>
    <row r="27" spans="2:22" x14ac:dyDescent="0.2">
      <c r="B27">
        <v>100</v>
      </c>
      <c r="C27">
        <v>94.933789806203578</v>
      </c>
      <c r="D27">
        <v>92.072522832475244</v>
      </c>
      <c r="E27">
        <v>87.40079424696863</v>
      </c>
      <c r="F27">
        <v>83.624199190834446</v>
      </c>
      <c r="G27">
        <v>80.165265653908975</v>
      </c>
      <c r="H27">
        <v>74.601706739684474</v>
      </c>
      <c r="I27">
        <v>74.553042814919422</v>
      </c>
      <c r="J27">
        <v>73.038260612549664</v>
      </c>
      <c r="K27">
        <v>68.869884329756019</v>
      </c>
      <c r="L27">
        <v>69.748300264094382</v>
      </c>
      <c r="M27">
        <v>68.902910095912119</v>
      </c>
      <c r="N27">
        <v>66.60207061280299</v>
      </c>
      <c r="O27">
        <v>66.762476940161861</v>
      </c>
      <c r="P27">
        <v>66.904936870558018</v>
      </c>
      <c r="Q27">
        <v>66.913820994599519</v>
      </c>
      <c r="R27">
        <v>66.651471394361465</v>
      </c>
      <c r="S27">
        <v>66.120534422334615</v>
      </c>
      <c r="T27">
        <v>64.364553266744025</v>
      </c>
      <c r="U27">
        <v>62.174612101391766</v>
      </c>
      <c r="V27">
        <v>59.912288539092089</v>
      </c>
    </row>
    <row r="28" spans="2:22" x14ac:dyDescent="0.2">
      <c r="B28">
        <v>100</v>
      </c>
      <c r="C28">
        <v>95.890512823434605</v>
      </c>
      <c r="D28">
        <v>93.026913314998936</v>
      </c>
      <c r="E28">
        <v>87.760302211048582</v>
      </c>
      <c r="F28">
        <v>90.651597628700245</v>
      </c>
      <c r="G28">
        <v>91.264809235978674</v>
      </c>
      <c r="H28">
        <v>86.398427798626301</v>
      </c>
      <c r="I28">
        <v>83.351965614249238</v>
      </c>
      <c r="J28">
        <v>80.252036965667955</v>
      </c>
      <c r="K28">
        <v>79.994370560609099</v>
      </c>
      <c r="L28">
        <v>77.90331729747308</v>
      </c>
      <c r="M28">
        <v>76.545903851198162</v>
      </c>
      <c r="N28">
        <v>74.600546743619304</v>
      </c>
      <c r="O28">
        <v>72.703880698808462</v>
      </c>
      <c r="P28">
        <v>73.807765384188997</v>
      </c>
      <c r="Q28">
        <v>71.511622169047797</v>
      </c>
      <c r="R28">
        <v>72.930026869351877</v>
      </c>
      <c r="S28">
        <v>67.921344887838586</v>
      </c>
      <c r="T28">
        <v>67.438420799363229</v>
      </c>
      <c r="U28">
        <v>66.030872276378545</v>
      </c>
      <c r="V28">
        <v>64.831890841604761</v>
      </c>
    </row>
    <row r="29" spans="2:22" x14ac:dyDescent="0.2">
      <c r="B29">
        <v>100</v>
      </c>
      <c r="C29">
        <v>98.464718643168993</v>
      </c>
      <c r="D29">
        <v>94.823849540716438</v>
      </c>
      <c r="E29">
        <v>91.6883034146271</v>
      </c>
      <c r="F29">
        <v>87.047834713435165</v>
      </c>
      <c r="G29">
        <v>82.464098510552674</v>
      </c>
      <c r="H29">
        <v>81.106070599908207</v>
      </c>
      <c r="I29">
        <v>80.097065345119006</v>
      </c>
      <c r="J29">
        <v>78.238470179514806</v>
      </c>
      <c r="K29">
        <v>78.322262459832643</v>
      </c>
      <c r="L29">
        <v>80.909531371389718</v>
      </c>
      <c r="M29">
        <v>77.832677763812995</v>
      </c>
      <c r="N29">
        <v>70.99493048045646</v>
      </c>
      <c r="O29">
        <v>71.348747942969851</v>
      </c>
      <c r="P29">
        <v>68.135877877889229</v>
      </c>
      <c r="Q29">
        <v>65.067532172257145</v>
      </c>
      <c r="R29">
        <v>65.50894827261483</v>
      </c>
      <c r="S29">
        <v>63.328842649886226</v>
      </c>
      <c r="T29">
        <v>59.421676096561761</v>
      </c>
      <c r="U29">
        <v>58.297968011520446</v>
      </c>
      <c r="V29">
        <v>56.599108727713748</v>
      </c>
    </row>
    <row r="30" spans="2:22" x14ac:dyDescent="0.2">
      <c r="B30">
        <v>100</v>
      </c>
      <c r="C30">
        <v>97.546198534269863</v>
      </c>
      <c r="D30">
        <v>96.073716308927985</v>
      </c>
      <c r="E30">
        <v>92.8212069530951</v>
      </c>
      <c r="F30">
        <v>92.061189967286694</v>
      </c>
      <c r="G30">
        <v>89.269980787175257</v>
      </c>
      <c r="H30">
        <v>87.837063213127877</v>
      </c>
      <c r="I30">
        <v>88.221295482309628</v>
      </c>
      <c r="J30">
        <v>87.060015049592621</v>
      </c>
      <c r="K30">
        <v>84.188220691189798</v>
      </c>
      <c r="L30">
        <v>84.746404225543927</v>
      </c>
      <c r="M30">
        <v>84.917716456339107</v>
      </c>
      <c r="N30">
        <v>84.076590725919104</v>
      </c>
      <c r="O30">
        <v>82.538752148108983</v>
      </c>
      <c r="P30">
        <v>79.10729362693904</v>
      </c>
      <c r="Q30">
        <v>80.181344811149586</v>
      </c>
      <c r="R30">
        <v>76.888448940371219</v>
      </c>
      <c r="S30">
        <v>79.769911241801736</v>
      </c>
      <c r="T30">
        <v>81.195888987314476</v>
      </c>
      <c r="U30">
        <v>78.699606885888215</v>
      </c>
      <c r="V30">
        <v>74.538603896442041</v>
      </c>
    </row>
    <row r="31" spans="2:22" x14ac:dyDescent="0.2">
      <c r="B31">
        <v>100</v>
      </c>
      <c r="C31">
        <v>95.805639743035513</v>
      </c>
      <c r="D31">
        <v>94.066686968905543</v>
      </c>
      <c r="E31">
        <v>91.163043802807763</v>
      </c>
      <c r="F31">
        <v>88.10002532782913</v>
      </c>
      <c r="G31">
        <v>83.764659796512476</v>
      </c>
      <c r="H31">
        <v>81.595477200431645</v>
      </c>
      <c r="I31">
        <v>77.87443012012983</v>
      </c>
      <c r="J31">
        <v>72.383458554159901</v>
      </c>
      <c r="K31">
        <v>69.820786222554986</v>
      </c>
      <c r="L31">
        <v>69.994420594751602</v>
      </c>
      <c r="M31">
        <v>67.09035608893322</v>
      </c>
      <c r="N31">
        <v>66.665393905105034</v>
      </c>
      <c r="O31">
        <v>61.819759420672867</v>
      </c>
      <c r="P31">
        <v>60.186321536821936</v>
      </c>
      <c r="Q31">
        <v>59.750374350610386</v>
      </c>
      <c r="R31">
        <v>58.855397855728626</v>
      </c>
      <c r="S31">
        <v>57.601909040260431</v>
      </c>
      <c r="T31">
        <v>54.993427691535096</v>
      </c>
      <c r="U31">
        <v>52.106404291076544</v>
      </c>
      <c r="V31">
        <v>49.035741962349107</v>
      </c>
    </row>
    <row r="32" spans="2:22" x14ac:dyDescent="0.2">
      <c r="B32">
        <v>100</v>
      </c>
      <c r="C32">
        <v>97.827575816467885</v>
      </c>
      <c r="D32">
        <v>93.126758348605364</v>
      </c>
      <c r="E32">
        <v>89.749708764079358</v>
      </c>
      <c r="F32">
        <v>86.943362919715767</v>
      </c>
      <c r="G32">
        <v>89.069607084642129</v>
      </c>
      <c r="H32">
        <v>85.369767523074657</v>
      </c>
      <c r="I32">
        <v>83.796639424600841</v>
      </c>
      <c r="J32">
        <v>81.903150535053967</v>
      </c>
      <c r="K32">
        <v>77.760006208944901</v>
      </c>
      <c r="L32">
        <v>75.686206546180983</v>
      </c>
      <c r="M32">
        <v>76.933559349015226</v>
      </c>
      <c r="N32">
        <v>76.008886404047672</v>
      </c>
      <c r="O32">
        <v>74.230095833232369</v>
      </c>
      <c r="P32">
        <v>71.507018582560121</v>
      </c>
      <c r="Q32">
        <v>65.621053214146869</v>
      </c>
      <c r="R32">
        <v>66.269986875202036</v>
      </c>
      <c r="S32">
        <v>61.751175583936181</v>
      </c>
      <c r="T32">
        <v>61.663818041283115</v>
      </c>
      <c r="U32">
        <v>63.880449397834589</v>
      </c>
      <c r="V32">
        <v>59.503873958838398</v>
      </c>
    </row>
    <row r="33" spans="2:22" x14ac:dyDescent="0.2">
      <c r="B33">
        <v>100</v>
      </c>
      <c r="C33">
        <v>99.260558275541158</v>
      </c>
      <c r="D33">
        <v>96.16994636015022</v>
      </c>
      <c r="E33">
        <v>90.050831069014279</v>
      </c>
      <c r="F33">
        <v>84.336474351159822</v>
      </c>
      <c r="G33">
        <v>78.685114675706899</v>
      </c>
      <c r="H33">
        <v>75.615239024563806</v>
      </c>
      <c r="I33">
        <v>70.662504123868786</v>
      </c>
      <c r="J33">
        <v>70.344843094979083</v>
      </c>
      <c r="K33">
        <v>72.997856559604045</v>
      </c>
      <c r="L33">
        <v>68.52319437407877</v>
      </c>
      <c r="M33">
        <v>68.485144859613158</v>
      </c>
      <c r="N33">
        <v>68.367301470289988</v>
      </c>
      <c r="O33">
        <v>67.355446433304905</v>
      </c>
      <c r="P33">
        <v>63.728935149677021</v>
      </c>
      <c r="Q33">
        <v>61.92180986056573</v>
      </c>
      <c r="R33">
        <v>59.85564290789349</v>
      </c>
      <c r="S33">
        <v>59.452369082799969</v>
      </c>
      <c r="T33">
        <v>57.336505522246561</v>
      </c>
      <c r="U33">
        <v>57.772695431308115</v>
      </c>
      <c r="V33">
        <v>55.653018097168307</v>
      </c>
    </row>
    <row r="34" spans="2:22" x14ac:dyDescent="0.2">
      <c r="B34">
        <v>100</v>
      </c>
      <c r="C34">
        <v>100.15142283672871</v>
      </c>
      <c r="D34">
        <v>95.148736585173495</v>
      </c>
      <c r="E34">
        <v>89.832765460240822</v>
      </c>
      <c r="F34">
        <v>95.313986251724998</v>
      </c>
      <c r="G34">
        <v>91.965580792765167</v>
      </c>
      <c r="H34">
        <v>90.398214971474061</v>
      </c>
      <c r="I34">
        <v>89.658535736870121</v>
      </c>
      <c r="J34">
        <v>86.367408679559588</v>
      </c>
      <c r="K34">
        <v>85.418278715645457</v>
      </c>
      <c r="L34">
        <v>84.148153108891691</v>
      </c>
      <c r="M34">
        <v>81.596730190074751</v>
      </c>
      <c r="N34">
        <v>79.747091250308344</v>
      </c>
      <c r="O34">
        <v>77.703502108151554</v>
      </c>
      <c r="P34">
        <v>80.460904124164841</v>
      </c>
      <c r="Q34">
        <v>76.852432686350625</v>
      </c>
      <c r="R34">
        <v>72.62058265556027</v>
      </c>
      <c r="S34">
        <v>70.924083247653712</v>
      </c>
      <c r="T34">
        <v>69.825303640800712</v>
      </c>
      <c r="U34">
        <v>69.02022241166847</v>
      </c>
      <c r="V34">
        <v>66.385906124411918</v>
      </c>
    </row>
    <row r="35" spans="2:22" x14ac:dyDescent="0.2">
      <c r="B35">
        <v>100</v>
      </c>
      <c r="C35">
        <v>94.943199246068644</v>
      </c>
      <c r="D35">
        <v>95.643678428637841</v>
      </c>
      <c r="E35">
        <v>92.445515260328165</v>
      </c>
      <c r="F35">
        <v>88.134105299597792</v>
      </c>
      <c r="G35">
        <v>85.414681773930667</v>
      </c>
      <c r="H35">
        <v>82.878703040226625</v>
      </c>
      <c r="I35">
        <v>83.332522720309726</v>
      </c>
      <c r="J35">
        <v>81.467545245872756</v>
      </c>
      <c r="K35">
        <v>81.197141799198064</v>
      </c>
      <c r="L35">
        <v>78.0934269570471</v>
      </c>
      <c r="M35">
        <v>76.630974715180983</v>
      </c>
      <c r="N35">
        <v>74.045566463426312</v>
      </c>
      <c r="O35">
        <v>72.41786024272821</v>
      </c>
      <c r="P35">
        <v>68.783002635162759</v>
      </c>
      <c r="Q35">
        <v>64.444734404670854</v>
      </c>
      <c r="R35">
        <v>66.858978184879007</v>
      </c>
      <c r="S35">
        <v>66.418990470311329</v>
      </c>
      <c r="T35">
        <v>62.301246211310463</v>
      </c>
      <c r="U35">
        <v>59.635094354795221</v>
      </c>
      <c r="V35">
        <v>55.938400018996752</v>
      </c>
    </row>
    <row r="36" spans="2:22" x14ac:dyDescent="0.2">
      <c r="B36">
        <v>100</v>
      </c>
      <c r="C36">
        <v>103.00085132473498</v>
      </c>
      <c r="D36">
        <v>103.75365927765677</v>
      </c>
      <c r="E36">
        <v>100.53719575605793</v>
      </c>
      <c r="F36">
        <v>99.395831649574561</v>
      </c>
      <c r="G36">
        <v>96.014682753127104</v>
      </c>
      <c r="H36">
        <v>92.502576754307356</v>
      </c>
      <c r="I36">
        <v>88.502503446440102</v>
      </c>
      <c r="J36">
        <v>85.019656145974537</v>
      </c>
      <c r="K36">
        <v>86.699342515517046</v>
      </c>
      <c r="L36">
        <v>84.4447059659404</v>
      </c>
      <c r="M36">
        <v>82.628852878167422</v>
      </c>
      <c r="N36">
        <v>81.133282551431705</v>
      </c>
      <c r="O36">
        <v>81.877647277788128</v>
      </c>
      <c r="P36">
        <v>78.714535535711107</v>
      </c>
      <c r="Q36">
        <v>74.625809641697003</v>
      </c>
      <c r="R36">
        <v>76.380348764516739</v>
      </c>
      <c r="S36">
        <v>73.572851908903274</v>
      </c>
      <c r="T36">
        <v>70.244282914486988</v>
      </c>
      <c r="U36">
        <v>65.996267115797806</v>
      </c>
      <c r="V36">
        <v>61.837948259575995</v>
      </c>
    </row>
    <row r="37" spans="2:22" x14ac:dyDescent="0.2">
      <c r="B37">
        <v>100</v>
      </c>
      <c r="C37">
        <v>96.128111176453444</v>
      </c>
      <c r="D37">
        <v>95.248219219859365</v>
      </c>
      <c r="E37">
        <v>95.577578227296797</v>
      </c>
      <c r="F37">
        <v>94.928478567761317</v>
      </c>
      <c r="G37">
        <v>91.717399386908824</v>
      </c>
      <c r="H37">
        <v>89.597215815311714</v>
      </c>
      <c r="I37">
        <v>85.760286883172654</v>
      </c>
      <c r="J37">
        <v>82.024417861194195</v>
      </c>
      <c r="K37">
        <v>81.977356379668265</v>
      </c>
      <c r="L37">
        <v>77.713088706630927</v>
      </c>
      <c r="M37">
        <v>80.085012809567914</v>
      </c>
      <c r="N37">
        <v>77.909591163584622</v>
      </c>
      <c r="O37">
        <v>76.451965842714856</v>
      </c>
      <c r="P37">
        <v>72.988443881218473</v>
      </c>
      <c r="Q37">
        <v>69.987422686796222</v>
      </c>
      <c r="R37">
        <v>65.583800040586809</v>
      </c>
      <c r="S37">
        <v>63.601603970424307</v>
      </c>
      <c r="T37">
        <v>62.854070844306541</v>
      </c>
      <c r="U37">
        <v>61.934666454135879</v>
      </c>
      <c r="V37">
        <v>58.906032040475026</v>
      </c>
    </row>
    <row r="38" spans="2:22" x14ac:dyDescent="0.2">
      <c r="B38">
        <v>100</v>
      </c>
      <c r="C38">
        <v>95.607954390659799</v>
      </c>
      <c r="D38">
        <v>92.065748567190838</v>
      </c>
      <c r="E38">
        <v>93.359676106192865</v>
      </c>
      <c r="F38">
        <v>88.378533203940634</v>
      </c>
      <c r="G38">
        <v>85.803438121348037</v>
      </c>
      <c r="H38">
        <v>88.065648717217286</v>
      </c>
      <c r="I38">
        <v>85.659059077110086</v>
      </c>
      <c r="J38">
        <v>80.484676903862805</v>
      </c>
      <c r="K38">
        <v>77.048440485847493</v>
      </c>
      <c r="L38">
        <v>76.214017222329744</v>
      </c>
      <c r="M38">
        <v>73.551301279180251</v>
      </c>
      <c r="N38">
        <v>70.565709212372951</v>
      </c>
      <c r="O38">
        <v>68.116898378249601</v>
      </c>
      <c r="P38">
        <v>66.618470404664606</v>
      </c>
      <c r="Q38">
        <v>68.217347214351577</v>
      </c>
      <c r="R38">
        <v>66.356878419887167</v>
      </c>
      <c r="S38">
        <v>66.897426710306092</v>
      </c>
      <c r="T38">
        <v>66.517900472744699</v>
      </c>
      <c r="U38">
        <v>64.648360512616804</v>
      </c>
      <c r="V38">
        <v>60.064349828162619</v>
      </c>
    </row>
    <row r="39" spans="2:22" x14ac:dyDescent="0.2">
      <c r="B39">
        <v>100</v>
      </c>
      <c r="C39">
        <v>96.258146088813234</v>
      </c>
      <c r="D39">
        <v>92.713955971608755</v>
      </c>
      <c r="E39">
        <v>90.537669515061154</v>
      </c>
      <c r="F39">
        <v>91.363934467205482</v>
      </c>
      <c r="G39">
        <v>94.576531213949295</v>
      </c>
      <c r="H39">
        <v>96.03318989606268</v>
      </c>
      <c r="I39">
        <v>93.349521053931113</v>
      </c>
      <c r="J39">
        <v>86.947980328729059</v>
      </c>
      <c r="K39">
        <v>83.91407959731022</v>
      </c>
      <c r="L39">
        <v>82.042860160621402</v>
      </c>
      <c r="M39">
        <v>81.90946744756485</v>
      </c>
      <c r="N39">
        <v>82.044001203552185</v>
      </c>
      <c r="O39">
        <v>81.546378083941534</v>
      </c>
      <c r="P39">
        <v>76.471591205788755</v>
      </c>
      <c r="Q39">
        <v>76.417713629492397</v>
      </c>
      <c r="R39">
        <v>73.582379515370832</v>
      </c>
      <c r="S39">
        <v>72.134271152752078</v>
      </c>
      <c r="T39">
        <v>70.50871833844144</v>
      </c>
      <c r="U39">
        <v>69.653854560118546</v>
      </c>
      <c r="V39">
        <v>67.990782844461265</v>
      </c>
    </row>
    <row r="40" spans="2:22" x14ac:dyDescent="0.2">
      <c r="B40">
        <v>100</v>
      </c>
      <c r="C40">
        <v>93.482651775975341</v>
      </c>
      <c r="D40">
        <v>92.934130511876035</v>
      </c>
      <c r="E40">
        <v>91.571015207989646</v>
      </c>
      <c r="F40">
        <v>88.693331268925036</v>
      </c>
      <c r="G40">
        <v>86.779810987827418</v>
      </c>
      <c r="H40">
        <v>84.944090655193747</v>
      </c>
      <c r="I40">
        <v>83.347480365643776</v>
      </c>
      <c r="J40">
        <v>85.008213836130111</v>
      </c>
      <c r="K40">
        <v>82.455953912814039</v>
      </c>
      <c r="L40">
        <v>80.795576160848682</v>
      </c>
      <c r="M40">
        <v>81.403620741007472</v>
      </c>
      <c r="N40">
        <v>81.744584196618135</v>
      </c>
      <c r="O40">
        <v>82.353615548011746</v>
      </c>
      <c r="P40">
        <v>79.040135093389267</v>
      </c>
      <c r="Q40">
        <v>81.518666886636908</v>
      </c>
      <c r="R40">
        <v>79.653843509834033</v>
      </c>
      <c r="S40">
        <v>81.836920557525175</v>
      </c>
      <c r="T40">
        <v>76.846721534586223</v>
      </c>
      <c r="U40">
        <v>74.994937935121314</v>
      </c>
      <c r="V40">
        <v>75.823293634301749</v>
      </c>
    </row>
    <row r="41" spans="2:22" x14ac:dyDescent="0.2">
      <c r="B41">
        <v>100</v>
      </c>
      <c r="C41">
        <v>95.810212929898725</v>
      </c>
      <c r="D41">
        <v>91.681189770375966</v>
      </c>
      <c r="E41">
        <v>87.235611994798504</v>
      </c>
      <c r="F41">
        <v>82.686975653546938</v>
      </c>
      <c r="G41">
        <v>79.673027338161333</v>
      </c>
      <c r="H41">
        <v>78.450481776735685</v>
      </c>
      <c r="I41">
        <v>72.198921603304981</v>
      </c>
      <c r="J41">
        <v>70.858967404970855</v>
      </c>
      <c r="K41">
        <v>71.687466163763744</v>
      </c>
      <c r="L41">
        <v>74.231919244639329</v>
      </c>
      <c r="M41">
        <v>75.179663730526073</v>
      </c>
      <c r="N41">
        <v>74.993519198169224</v>
      </c>
      <c r="O41">
        <v>69.51900772249472</v>
      </c>
      <c r="P41">
        <v>66.577622976998356</v>
      </c>
      <c r="Q41">
        <v>64.234672368162762</v>
      </c>
      <c r="R41">
        <v>64.045700852291759</v>
      </c>
      <c r="S41">
        <v>62.257092404518602</v>
      </c>
      <c r="T41">
        <v>58.378150361925428</v>
      </c>
      <c r="U41">
        <v>60.138383521096046</v>
      </c>
      <c r="V41">
        <v>60.400536310992074</v>
      </c>
    </row>
    <row r="42" spans="2:22" x14ac:dyDescent="0.2">
      <c r="B42">
        <v>100</v>
      </c>
      <c r="C42">
        <v>98.117300653298798</v>
      </c>
      <c r="D42">
        <v>98.680400688413201</v>
      </c>
      <c r="E42">
        <v>93.010190966995566</v>
      </c>
      <c r="F42">
        <v>92.285091987358641</v>
      </c>
      <c r="G42">
        <v>88.77861913585248</v>
      </c>
      <c r="H42">
        <v>88.209916567749417</v>
      </c>
      <c r="I42">
        <v>85.893223259567677</v>
      </c>
      <c r="J42">
        <v>85.218158169728426</v>
      </c>
      <c r="K42">
        <v>86.177198934506862</v>
      </c>
      <c r="L42">
        <v>84.069319936766476</v>
      </c>
      <c r="M42">
        <v>84.298804742323696</v>
      </c>
      <c r="N42">
        <v>79.562434935476858</v>
      </c>
      <c r="O42">
        <v>76.028294968903296</v>
      </c>
      <c r="P42">
        <v>77.436969081187797</v>
      </c>
      <c r="Q42">
        <v>76.342068769014077</v>
      </c>
      <c r="R42">
        <v>70.128924352253989</v>
      </c>
      <c r="S42">
        <v>65.627217019064744</v>
      </c>
      <c r="T42">
        <v>63.610505048383274</v>
      </c>
      <c r="U42">
        <v>63.791701709292539</v>
      </c>
      <c r="V42">
        <v>62.018714837863897</v>
      </c>
    </row>
    <row r="43" spans="2:22" x14ac:dyDescent="0.2">
      <c r="B43">
        <v>100</v>
      </c>
      <c r="C43">
        <v>99.068545115321996</v>
      </c>
      <c r="D43">
        <v>99.022864200072036</v>
      </c>
      <c r="E43">
        <v>100.72552486215828</v>
      </c>
      <c r="F43">
        <v>98.378636117461198</v>
      </c>
      <c r="G43">
        <v>95.836775611261203</v>
      </c>
      <c r="H43">
        <v>89.307400847164175</v>
      </c>
      <c r="I43">
        <v>87.349442503216977</v>
      </c>
      <c r="J43">
        <v>83.890940534914563</v>
      </c>
      <c r="K43">
        <v>79.678018662462307</v>
      </c>
      <c r="L43">
        <v>77.317264169410748</v>
      </c>
      <c r="M43">
        <v>77.619474722831583</v>
      </c>
      <c r="N43">
        <v>71.456677469170984</v>
      </c>
      <c r="O43">
        <v>68.809762383923726</v>
      </c>
      <c r="P43">
        <v>67.348444676185366</v>
      </c>
      <c r="Q43">
        <v>63.899934875715353</v>
      </c>
      <c r="R43">
        <v>62.993465611655751</v>
      </c>
      <c r="S43">
        <v>62.24275645057876</v>
      </c>
      <c r="T43">
        <v>60.678213384594628</v>
      </c>
      <c r="U43">
        <v>54.560939850561539</v>
      </c>
      <c r="V43">
        <v>57.976621310025742</v>
      </c>
    </row>
    <row r="44" spans="2:22" x14ac:dyDescent="0.2">
      <c r="B44">
        <v>100</v>
      </c>
      <c r="C44">
        <v>97.02814846655248</v>
      </c>
      <c r="D44">
        <v>96.212905548353717</v>
      </c>
      <c r="E44">
        <v>94.51128438588654</v>
      </c>
      <c r="F44">
        <v>94.638444878665794</v>
      </c>
      <c r="G44">
        <v>94.263812039429297</v>
      </c>
      <c r="H44">
        <v>91.437586358281806</v>
      </c>
      <c r="I44">
        <v>90.069490786808714</v>
      </c>
      <c r="J44">
        <v>85.658008528727024</v>
      </c>
      <c r="K44">
        <v>85.502866509864162</v>
      </c>
      <c r="L44">
        <v>82.371560080712669</v>
      </c>
      <c r="M44">
        <v>85.810382344466078</v>
      </c>
      <c r="N44">
        <v>79.985233128935832</v>
      </c>
      <c r="O44">
        <v>77.008180531012954</v>
      </c>
      <c r="P44">
        <v>76.895426975954464</v>
      </c>
      <c r="Q44">
        <v>76.100876348553527</v>
      </c>
      <c r="R44">
        <v>72.965576732797999</v>
      </c>
      <c r="S44">
        <v>69.0969342493445</v>
      </c>
      <c r="T44">
        <v>67.687926926959904</v>
      </c>
      <c r="U44">
        <v>65.996955515252395</v>
      </c>
      <c r="V44">
        <v>60.848468542395615</v>
      </c>
    </row>
    <row r="45" spans="2:22" x14ac:dyDescent="0.2">
      <c r="B45">
        <v>100</v>
      </c>
      <c r="C45">
        <v>97.615800924096405</v>
      </c>
      <c r="D45">
        <v>95.673304888790923</v>
      </c>
      <c r="E45">
        <v>93.738647075492636</v>
      </c>
      <c r="F45">
        <v>88.935714270288159</v>
      </c>
      <c r="G45">
        <v>87.860974226374637</v>
      </c>
      <c r="H45">
        <v>88.891542600865833</v>
      </c>
      <c r="I45">
        <v>87.762751358202763</v>
      </c>
      <c r="J45">
        <v>83.00567438355958</v>
      </c>
      <c r="K45">
        <v>79.985340945162463</v>
      </c>
      <c r="L45">
        <v>78.779521156560477</v>
      </c>
      <c r="M45">
        <v>75.43190849173007</v>
      </c>
      <c r="N45">
        <v>69.048170062959088</v>
      </c>
      <c r="O45">
        <v>69.158260536806125</v>
      </c>
      <c r="P45">
        <v>65.77065128816335</v>
      </c>
      <c r="Q45">
        <v>63.0106342232949</v>
      </c>
      <c r="R45">
        <v>64.418860321204548</v>
      </c>
      <c r="S45">
        <v>61.313268073703291</v>
      </c>
      <c r="T45">
        <v>61.444945604967572</v>
      </c>
      <c r="U45">
        <v>57.534471668041597</v>
      </c>
      <c r="V45">
        <v>55.456506580252316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4E4A-7968-E445-BB58-A5D7D48AD68F}">
  <dimension ref="A1:Q687"/>
  <sheetViews>
    <sheetView topLeftCell="I1" workbookViewId="0">
      <selection activeCell="R12" sqref="R12"/>
    </sheetView>
  </sheetViews>
  <sheetFormatPr baseColWidth="10" defaultRowHeight="16" x14ac:dyDescent="0.2"/>
  <sheetData>
    <row r="1" spans="1:17" x14ac:dyDescent="0.2">
      <c r="A1" t="s">
        <v>446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  <c r="G1" t="s">
        <v>452</v>
      </c>
      <c r="H1" t="s">
        <v>453</v>
      </c>
      <c r="I1" t="s">
        <v>454</v>
      </c>
      <c r="J1" t="s">
        <v>455</v>
      </c>
      <c r="K1" t="s">
        <v>456</v>
      </c>
      <c r="L1" t="s">
        <v>457</v>
      </c>
      <c r="M1" t="s">
        <v>445</v>
      </c>
      <c r="N1" t="s">
        <v>444</v>
      </c>
      <c r="O1" t="s">
        <v>76</v>
      </c>
    </row>
    <row r="2" spans="1:17" x14ac:dyDescent="0.2">
      <c r="A2" t="s">
        <v>458</v>
      </c>
      <c r="B2" t="s">
        <v>459</v>
      </c>
      <c r="C2" t="s">
        <v>151</v>
      </c>
      <c r="D2" t="s">
        <v>460</v>
      </c>
      <c r="E2" t="s">
        <v>233</v>
      </c>
      <c r="F2">
        <v>1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 t="s">
        <v>461</v>
      </c>
      <c r="O2">
        <v>1</v>
      </c>
      <c r="Q2" s="3" t="e" cm="1" vm="1">
        <f t="array" ref="Q2">_xldudf_TECHTO_SURVIVAL(A1:O687,"Ridge",0)</f>
        <v>#VALUE!</v>
      </c>
    </row>
    <row r="3" spans="1:17" x14ac:dyDescent="0.2">
      <c r="A3" t="s">
        <v>462</v>
      </c>
      <c r="B3" t="s">
        <v>463</v>
      </c>
      <c r="C3" t="s">
        <v>224</v>
      </c>
      <c r="D3" t="s">
        <v>464</v>
      </c>
      <c r="E3" t="s">
        <v>231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 t="s">
        <v>465</v>
      </c>
      <c r="O3">
        <v>1</v>
      </c>
    </row>
    <row r="4" spans="1:17" x14ac:dyDescent="0.2">
      <c r="A4" t="s">
        <v>466</v>
      </c>
      <c r="B4" t="s">
        <v>224</v>
      </c>
      <c r="C4" t="s">
        <v>213</v>
      </c>
      <c r="D4" t="s">
        <v>115</v>
      </c>
      <c r="E4" t="s">
        <v>154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 t="s">
        <v>467</v>
      </c>
      <c r="O4">
        <v>1</v>
      </c>
    </row>
    <row r="5" spans="1:17" x14ac:dyDescent="0.2">
      <c r="A5" t="s">
        <v>468</v>
      </c>
      <c r="B5" t="s">
        <v>469</v>
      </c>
      <c r="C5" t="s">
        <v>252</v>
      </c>
      <c r="D5" t="s">
        <v>224</v>
      </c>
      <c r="E5" t="s">
        <v>154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 t="s">
        <v>470</v>
      </c>
      <c r="O5">
        <v>1</v>
      </c>
    </row>
    <row r="6" spans="1:17" x14ac:dyDescent="0.2">
      <c r="A6" t="s">
        <v>471</v>
      </c>
      <c r="B6" t="s">
        <v>469</v>
      </c>
      <c r="C6" t="s">
        <v>307</v>
      </c>
      <c r="D6" t="s">
        <v>469</v>
      </c>
      <c r="E6" t="s">
        <v>125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  <c r="N6" t="s">
        <v>472</v>
      </c>
      <c r="O6">
        <v>1</v>
      </c>
    </row>
    <row r="7" spans="1:17" x14ac:dyDescent="0.2">
      <c r="A7" t="s">
        <v>473</v>
      </c>
      <c r="B7" t="s">
        <v>474</v>
      </c>
      <c r="C7" t="s">
        <v>252</v>
      </c>
      <c r="D7" t="s">
        <v>475</v>
      </c>
      <c r="E7" t="s">
        <v>193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 t="s">
        <v>476</v>
      </c>
      <c r="O7">
        <v>1</v>
      </c>
    </row>
    <row r="8" spans="1:17" x14ac:dyDescent="0.2">
      <c r="A8" t="s">
        <v>477</v>
      </c>
      <c r="B8" t="s">
        <v>103</v>
      </c>
      <c r="C8" t="s">
        <v>224</v>
      </c>
      <c r="D8" t="s">
        <v>161</v>
      </c>
      <c r="E8" t="s">
        <v>154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 t="s">
        <v>478</v>
      </c>
      <c r="O8">
        <v>1</v>
      </c>
    </row>
    <row r="9" spans="1:17" x14ac:dyDescent="0.2">
      <c r="A9" t="s">
        <v>462</v>
      </c>
      <c r="B9" t="s">
        <v>479</v>
      </c>
      <c r="C9" t="s">
        <v>252</v>
      </c>
      <c r="D9" t="s">
        <v>480</v>
      </c>
      <c r="E9" t="s">
        <v>193</v>
      </c>
      <c r="F9">
        <v>0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 t="s">
        <v>481</v>
      </c>
      <c r="O9">
        <v>1</v>
      </c>
    </row>
    <row r="10" spans="1:17" x14ac:dyDescent="0.2">
      <c r="A10" t="s">
        <v>482</v>
      </c>
      <c r="B10" t="s">
        <v>233</v>
      </c>
      <c r="C10" t="s">
        <v>224</v>
      </c>
      <c r="D10" t="s">
        <v>192</v>
      </c>
      <c r="E10" t="s">
        <v>483</v>
      </c>
      <c r="F10">
        <v>1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 t="s">
        <v>484</v>
      </c>
      <c r="O10">
        <v>1</v>
      </c>
    </row>
    <row r="11" spans="1:17" x14ac:dyDescent="0.2">
      <c r="A11" t="s">
        <v>477</v>
      </c>
      <c r="B11" t="s">
        <v>485</v>
      </c>
      <c r="C11" t="s">
        <v>213</v>
      </c>
      <c r="D11" t="s">
        <v>486</v>
      </c>
      <c r="E11" t="s">
        <v>255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 t="s">
        <v>487</v>
      </c>
      <c r="O11">
        <v>1</v>
      </c>
    </row>
    <row r="12" spans="1:17" x14ac:dyDescent="0.2">
      <c r="A12" t="s">
        <v>488</v>
      </c>
      <c r="B12" t="s">
        <v>489</v>
      </c>
      <c r="C12" t="s">
        <v>252</v>
      </c>
      <c r="D12" t="s">
        <v>490</v>
      </c>
      <c r="E12" t="s">
        <v>154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 t="s">
        <v>491</v>
      </c>
      <c r="O12">
        <v>1</v>
      </c>
    </row>
    <row r="13" spans="1:17" x14ac:dyDescent="0.2">
      <c r="A13" t="s">
        <v>492</v>
      </c>
      <c r="B13" t="s">
        <v>111</v>
      </c>
      <c r="C13" t="s">
        <v>224</v>
      </c>
      <c r="D13" t="s">
        <v>144</v>
      </c>
      <c r="E13" t="s">
        <v>493</v>
      </c>
      <c r="F13">
        <v>0</v>
      </c>
      <c r="G13">
        <v>1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 t="s">
        <v>494</v>
      </c>
      <c r="O13">
        <v>1</v>
      </c>
    </row>
    <row r="14" spans="1:17" x14ac:dyDescent="0.2">
      <c r="A14" t="s">
        <v>495</v>
      </c>
      <c r="B14" t="s">
        <v>496</v>
      </c>
      <c r="C14" t="s">
        <v>115</v>
      </c>
      <c r="D14" t="s">
        <v>497</v>
      </c>
      <c r="E14" t="s">
        <v>233</v>
      </c>
      <c r="F14">
        <v>0</v>
      </c>
      <c r="G14">
        <v>1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 t="s">
        <v>498</v>
      </c>
      <c r="O14">
        <v>1</v>
      </c>
    </row>
    <row r="15" spans="1:17" x14ac:dyDescent="0.2">
      <c r="A15" t="s">
        <v>499</v>
      </c>
      <c r="B15" t="s">
        <v>500</v>
      </c>
      <c r="C15" t="s">
        <v>252</v>
      </c>
      <c r="D15" t="s">
        <v>469</v>
      </c>
      <c r="E15" t="s">
        <v>460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 t="s">
        <v>501</v>
      </c>
      <c r="O15">
        <v>1</v>
      </c>
    </row>
    <row r="16" spans="1:17" x14ac:dyDescent="0.2">
      <c r="A16" t="s">
        <v>502</v>
      </c>
      <c r="B16" t="s">
        <v>469</v>
      </c>
      <c r="C16" t="s">
        <v>503</v>
      </c>
      <c r="D16" t="s">
        <v>504</v>
      </c>
      <c r="E16" t="s">
        <v>460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 t="s">
        <v>505</v>
      </c>
      <c r="O16">
        <v>1</v>
      </c>
    </row>
    <row r="17" spans="1:15" x14ac:dyDescent="0.2">
      <c r="A17" t="s">
        <v>471</v>
      </c>
      <c r="B17" t="s">
        <v>253</v>
      </c>
      <c r="C17" t="s">
        <v>151</v>
      </c>
      <c r="D17" t="s">
        <v>255</v>
      </c>
      <c r="E17" t="s">
        <v>193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 t="s">
        <v>506</v>
      </c>
      <c r="O17">
        <v>1</v>
      </c>
    </row>
    <row r="18" spans="1:15" x14ac:dyDescent="0.2">
      <c r="A18" t="s">
        <v>495</v>
      </c>
      <c r="B18" t="s">
        <v>507</v>
      </c>
      <c r="C18" t="s">
        <v>296</v>
      </c>
      <c r="D18" t="s">
        <v>250</v>
      </c>
      <c r="E18" t="s">
        <v>154</v>
      </c>
      <c r="F18">
        <v>0</v>
      </c>
      <c r="G18">
        <v>1</v>
      </c>
      <c r="H18">
        <v>0</v>
      </c>
      <c r="I18">
        <v>1</v>
      </c>
      <c r="J18">
        <v>0</v>
      </c>
      <c r="K18">
        <v>1</v>
      </c>
      <c r="L18">
        <v>0</v>
      </c>
      <c r="M18">
        <v>1</v>
      </c>
      <c r="N18" t="s">
        <v>508</v>
      </c>
      <c r="O18">
        <v>1</v>
      </c>
    </row>
    <row r="19" spans="1:15" x14ac:dyDescent="0.2">
      <c r="A19" t="s">
        <v>477</v>
      </c>
      <c r="B19" t="s">
        <v>509</v>
      </c>
      <c r="C19" t="s">
        <v>224</v>
      </c>
      <c r="D19" t="s">
        <v>229</v>
      </c>
      <c r="E19" t="s">
        <v>154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1</v>
      </c>
      <c r="N19" t="s">
        <v>510</v>
      </c>
      <c r="O19">
        <v>1</v>
      </c>
    </row>
    <row r="20" spans="1:15" x14ac:dyDescent="0.2">
      <c r="A20" t="s">
        <v>511</v>
      </c>
      <c r="B20" t="s">
        <v>503</v>
      </c>
      <c r="C20" t="s">
        <v>224</v>
      </c>
      <c r="D20" t="s">
        <v>512</v>
      </c>
      <c r="E20" t="s">
        <v>154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 t="s">
        <v>513</v>
      </c>
      <c r="O20">
        <v>1</v>
      </c>
    </row>
    <row r="21" spans="1:15" x14ac:dyDescent="0.2">
      <c r="A21" t="s">
        <v>514</v>
      </c>
      <c r="B21" t="s">
        <v>469</v>
      </c>
      <c r="C21" t="s">
        <v>252</v>
      </c>
      <c r="D21" t="s">
        <v>255</v>
      </c>
      <c r="E21" t="s">
        <v>233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 t="s">
        <v>515</v>
      </c>
      <c r="O21">
        <v>1</v>
      </c>
    </row>
    <row r="22" spans="1:15" x14ac:dyDescent="0.2">
      <c r="A22" t="s">
        <v>473</v>
      </c>
      <c r="B22" t="s">
        <v>469</v>
      </c>
      <c r="C22" t="s">
        <v>484</v>
      </c>
      <c r="D22" t="s">
        <v>469</v>
      </c>
      <c r="E22" t="s">
        <v>477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 t="s">
        <v>516</v>
      </c>
      <c r="O22">
        <v>1</v>
      </c>
    </row>
    <row r="23" spans="1:15" x14ac:dyDescent="0.2">
      <c r="A23" t="s">
        <v>468</v>
      </c>
      <c r="B23" t="s">
        <v>517</v>
      </c>
      <c r="C23" t="s">
        <v>252</v>
      </c>
      <c r="D23" t="s">
        <v>140</v>
      </c>
      <c r="E23" t="s">
        <v>511</v>
      </c>
      <c r="F23">
        <v>1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 t="s">
        <v>518</v>
      </c>
      <c r="O23">
        <v>1</v>
      </c>
    </row>
    <row r="24" spans="1:15" x14ac:dyDescent="0.2">
      <c r="A24" t="s">
        <v>519</v>
      </c>
      <c r="B24" t="s">
        <v>520</v>
      </c>
      <c r="C24" t="s">
        <v>252</v>
      </c>
      <c r="D24" t="s">
        <v>521</v>
      </c>
      <c r="E24" t="s">
        <v>178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 t="s">
        <v>522</v>
      </c>
      <c r="O24">
        <v>1</v>
      </c>
    </row>
    <row r="25" spans="1:15" x14ac:dyDescent="0.2">
      <c r="A25" t="s">
        <v>523</v>
      </c>
      <c r="B25" t="s">
        <v>224</v>
      </c>
      <c r="C25" t="s">
        <v>151</v>
      </c>
      <c r="D25" t="s">
        <v>129</v>
      </c>
      <c r="E25" t="s">
        <v>460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 t="s">
        <v>524</v>
      </c>
      <c r="O25">
        <v>1</v>
      </c>
    </row>
    <row r="26" spans="1:15" x14ac:dyDescent="0.2">
      <c r="A26" t="s">
        <v>458</v>
      </c>
      <c r="B26" t="s">
        <v>485</v>
      </c>
      <c r="C26" t="s">
        <v>224</v>
      </c>
      <c r="D26" t="s">
        <v>107</v>
      </c>
      <c r="E26" t="s">
        <v>239</v>
      </c>
      <c r="F26">
        <v>1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 t="s">
        <v>525</v>
      </c>
      <c r="O26">
        <v>1</v>
      </c>
    </row>
    <row r="27" spans="1:15" x14ac:dyDescent="0.2">
      <c r="A27" t="s">
        <v>526</v>
      </c>
      <c r="B27" t="s">
        <v>469</v>
      </c>
      <c r="C27" t="s">
        <v>252</v>
      </c>
      <c r="D27" t="s">
        <v>469</v>
      </c>
      <c r="E27" t="s">
        <v>92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 t="s">
        <v>527</v>
      </c>
      <c r="O27">
        <v>1</v>
      </c>
    </row>
    <row r="28" spans="1:15" x14ac:dyDescent="0.2">
      <c r="A28" t="s">
        <v>477</v>
      </c>
      <c r="B28" t="s">
        <v>307</v>
      </c>
      <c r="C28" t="s">
        <v>224</v>
      </c>
      <c r="D28" t="s">
        <v>528</v>
      </c>
      <c r="E28" t="s">
        <v>512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1</v>
      </c>
      <c r="N28" t="s">
        <v>290</v>
      </c>
      <c r="O28">
        <v>1</v>
      </c>
    </row>
    <row r="29" spans="1:15" x14ac:dyDescent="0.2">
      <c r="A29" t="s">
        <v>519</v>
      </c>
      <c r="B29" t="s">
        <v>133</v>
      </c>
      <c r="C29" t="s">
        <v>129</v>
      </c>
      <c r="D29" t="s">
        <v>503</v>
      </c>
      <c r="E29" t="s">
        <v>296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 t="s">
        <v>529</v>
      </c>
      <c r="O29">
        <v>1</v>
      </c>
    </row>
    <row r="30" spans="1:15" x14ac:dyDescent="0.2">
      <c r="A30" t="s">
        <v>530</v>
      </c>
      <c r="B30" t="s">
        <v>531</v>
      </c>
      <c r="C30" t="s">
        <v>252</v>
      </c>
      <c r="D30" t="s">
        <v>526</v>
      </c>
      <c r="E30" t="s">
        <v>253</v>
      </c>
      <c r="F30">
        <v>1</v>
      </c>
      <c r="G30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 t="s">
        <v>532</v>
      </c>
      <c r="O30">
        <v>1</v>
      </c>
    </row>
    <row r="31" spans="1:15" x14ac:dyDescent="0.2">
      <c r="A31" t="s">
        <v>526</v>
      </c>
      <c r="B31" t="s">
        <v>533</v>
      </c>
      <c r="C31" t="s">
        <v>307</v>
      </c>
      <c r="D31" t="s">
        <v>534</v>
      </c>
      <c r="E31" t="s">
        <v>502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 t="s">
        <v>535</v>
      </c>
      <c r="O31">
        <v>1</v>
      </c>
    </row>
    <row r="32" spans="1:15" x14ac:dyDescent="0.2">
      <c r="A32" t="s">
        <v>530</v>
      </c>
      <c r="B32" t="s">
        <v>536</v>
      </c>
      <c r="C32" t="s">
        <v>129</v>
      </c>
      <c r="D32" t="s">
        <v>537</v>
      </c>
      <c r="E32" t="s">
        <v>233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 t="s">
        <v>538</v>
      </c>
      <c r="O32">
        <v>1</v>
      </c>
    </row>
    <row r="33" spans="1:15" x14ac:dyDescent="0.2">
      <c r="A33" t="s">
        <v>462</v>
      </c>
      <c r="B33" t="s">
        <v>469</v>
      </c>
      <c r="C33" t="s">
        <v>252</v>
      </c>
      <c r="D33" t="s">
        <v>539</v>
      </c>
      <c r="E33" t="s">
        <v>161</v>
      </c>
      <c r="F33">
        <v>1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  <c r="N33" t="s">
        <v>540</v>
      </c>
      <c r="O33">
        <v>1</v>
      </c>
    </row>
    <row r="34" spans="1:15" x14ac:dyDescent="0.2">
      <c r="A34" t="s">
        <v>541</v>
      </c>
      <c r="B34" t="s">
        <v>542</v>
      </c>
      <c r="C34" t="s">
        <v>129</v>
      </c>
      <c r="D34" t="s">
        <v>223</v>
      </c>
      <c r="E34" t="s">
        <v>161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 t="s">
        <v>543</v>
      </c>
      <c r="O34">
        <v>1</v>
      </c>
    </row>
    <row r="35" spans="1:15" x14ac:dyDescent="0.2">
      <c r="A35" t="s">
        <v>536</v>
      </c>
      <c r="B35" t="s">
        <v>544</v>
      </c>
      <c r="C35" t="s">
        <v>213</v>
      </c>
      <c r="D35" t="s">
        <v>545</v>
      </c>
      <c r="E35" t="s">
        <v>81</v>
      </c>
      <c r="F35">
        <v>0</v>
      </c>
      <c r="G35">
        <v>1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 t="s">
        <v>546</v>
      </c>
      <c r="O35">
        <v>1</v>
      </c>
    </row>
    <row r="36" spans="1:15" x14ac:dyDescent="0.2">
      <c r="A36" t="s">
        <v>530</v>
      </c>
      <c r="B36" t="s">
        <v>117</v>
      </c>
      <c r="C36" t="s">
        <v>252</v>
      </c>
      <c r="D36" t="s">
        <v>547</v>
      </c>
      <c r="E36" t="s">
        <v>233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1</v>
      </c>
      <c r="N36" t="s">
        <v>548</v>
      </c>
      <c r="O36">
        <v>1</v>
      </c>
    </row>
    <row r="37" spans="1:15" x14ac:dyDescent="0.2">
      <c r="A37" t="s">
        <v>468</v>
      </c>
      <c r="B37" t="s">
        <v>549</v>
      </c>
      <c r="C37" t="s">
        <v>252</v>
      </c>
      <c r="D37" t="s">
        <v>134</v>
      </c>
      <c r="E37" t="s">
        <v>110</v>
      </c>
      <c r="F37">
        <v>0</v>
      </c>
      <c r="G37">
        <v>1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 t="s">
        <v>550</v>
      </c>
      <c r="O37">
        <v>1</v>
      </c>
    </row>
    <row r="38" spans="1:15" x14ac:dyDescent="0.2">
      <c r="A38" t="s">
        <v>519</v>
      </c>
      <c r="B38" t="s">
        <v>166</v>
      </c>
      <c r="C38" t="s">
        <v>178</v>
      </c>
      <c r="D38" t="s">
        <v>551</v>
      </c>
      <c r="E38" t="s">
        <v>533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 t="s">
        <v>285</v>
      </c>
      <c r="O38">
        <v>1</v>
      </c>
    </row>
    <row r="39" spans="1:15" x14ac:dyDescent="0.2">
      <c r="A39" t="s">
        <v>530</v>
      </c>
      <c r="B39" t="s">
        <v>503</v>
      </c>
      <c r="C39" t="s">
        <v>224</v>
      </c>
      <c r="D39" t="s">
        <v>534</v>
      </c>
      <c r="E39" t="s">
        <v>552</v>
      </c>
      <c r="F39">
        <v>1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 t="s">
        <v>553</v>
      </c>
      <c r="O39">
        <v>1</v>
      </c>
    </row>
    <row r="40" spans="1:15" x14ac:dyDescent="0.2">
      <c r="A40" t="s">
        <v>514</v>
      </c>
      <c r="B40" t="s">
        <v>554</v>
      </c>
      <c r="C40" t="s">
        <v>252</v>
      </c>
      <c r="D40" t="s">
        <v>503</v>
      </c>
      <c r="E40" t="s">
        <v>110</v>
      </c>
      <c r="F40">
        <v>1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 t="s">
        <v>479</v>
      </c>
      <c r="O40">
        <v>1</v>
      </c>
    </row>
    <row r="41" spans="1:15" x14ac:dyDescent="0.2">
      <c r="A41" t="s">
        <v>523</v>
      </c>
      <c r="B41" t="s">
        <v>239</v>
      </c>
      <c r="C41" t="s">
        <v>115</v>
      </c>
      <c r="D41" t="s">
        <v>555</v>
      </c>
      <c r="E41" t="s">
        <v>295</v>
      </c>
      <c r="F41">
        <v>1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 t="s">
        <v>556</v>
      </c>
      <c r="O41">
        <v>1</v>
      </c>
    </row>
    <row r="42" spans="1:15" x14ac:dyDescent="0.2">
      <c r="A42" t="s">
        <v>552</v>
      </c>
      <c r="B42" t="s">
        <v>464</v>
      </c>
      <c r="C42" t="s">
        <v>503</v>
      </c>
      <c r="D42" t="s">
        <v>277</v>
      </c>
      <c r="E42" t="s">
        <v>485</v>
      </c>
      <c r="F42">
        <v>1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 t="s">
        <v>557</v>
      </c>
      <c r="O42">
        <v>1</v>
      </c>
    </row>
    <row r="43" spans="1:15" x14ac:dyDescent="0.2">
      <c r="A43" t="s">
        <v>534</v>
      </c>
      <c r="B43" t="s">
        <v>482</v>
      </c>
      <c r="C43" t="s">
        <v>558</v>
      </c>
      <c r="D43" t="s">
        <v>526</v>
      </c>
      <c r="E43" t="s">
        <v>559</v>
      </c>
      <c r="F43">
        <v>0</v>
      </c>
      <c r="G43">
        <v>1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 t="s">
        <v>560</v>
      </c>
      <c r="O43">
        <v>1</v>
      </c>
    </row>
    <row r="44" spans="1:15" x14ac:dyDescent="0.2">
      <c r="A44" t="s">
        <v>462</v>
      </c>
      <c r="B44" t="s">
        <v>561</v>
      </c>
      <c r="C44" t="s">
        <v>224</v>
      </c>
      <c r="D44" t="s">
        <v>282</v>
      </c>
      <c r="E44" t="s">
        <v>512</v>
      </c>
      <c r="F44">
        <v>0</v>
      </c>
      <c r="G44">
        <v>1</v>
      </c>
      <c r="H44">
        <v>0</v>
      </c>
      <c r="I44">
        <v>1</v>
      </c>
      <c r="J44">
        <v>0</v>
      </c>
      <c r="K44">
        <v>1</v>
      </c>
      <c r="L44">
        <v>0</v>
      </c>
      <c r="M44">
        <v>1</v>
      </c>
      <c r="N44" t="s">
        <v>562</v>
      </c>
      <c r="O44">
        <v>1</v>
      </c>
    </row>
    <row r="45" spans="1:15" x14ac:dyDescent="0.2">
      <c r="A45" t="s">
        <v>563</v>
      </c>
      <c r="B45" t="s">
        <v>224</v>
      </c>
      <c r="C45" t="s">
        <v>129</v>
      </c>
      <c r="D45" t="s">
        <v>469</v>
      </c>
      <c r="E45" t="s">
        <v>233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1</v>
      </c>
      <c r="N45" t="s">
        <v>284</v>
      </c>
      <c r="O45">
        <v>1</v>
      </c>
    </row>
    <row r="46" spans="1:15" x14ac:dyDescent="0.2">
      <c r="A46" t="s">
        <v>495</v>
      </c>
      <c r="B46" t="s">
        <v>178</v>
      </c>
      <c r="C46" t="s">
        <v>528</v>
      </c>
      <c r="D46" t="s">
        <v>462</v>
      </c>
      <c r="E46" t="s">
        <v>255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 t="s">
        <v>510</v>
      </c>
      <c r="O46">
        <v>1</v>
      </c>
    </row>
    <row r="47" spans="1:15" x14ac:dyDescent="0.2">
      <c r="A47" t="s">
        <v>564</v>
      </c>
      <c r="B47" t="s">
        <v>268</v>
      </c>
      <c r="C47" t="s">
        <v>252</v>
      </c>
      <c r="D47" t="s">
        <v>133</v>
      </c>
      <c r="E47" t="s">
        <v>233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 t="s">
        <v>565</v>
      </c>
      <c r="O47">
        <v>1</v>
      </c>
    </row>
    <row r="48" spans="1:15" x14ac:dyDescent="0.2">
      <c r="A48" t="s">
        <v>517</v>
      </c>
      <c r="B48" t="s">
        <v>125</v>
      </c>
      <c r="C48" t="s">
        <v>129</v>
      </c>
      <c r="D48" t="s">
        <v>566</v>
      </c>
      <c r="E48" t="s">
        <v>503</v>
      </c>
      <c r="F48">
        <v>1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 t="s">
        <v>567</v>
      </c>
      <c r="O48">
        <v>1</v>
      </c>
    </row>
    <row r="49" spans="1:15" x14ac:dyDescent="0.2">
      <c r="A49" t="s">
        <v>477</v>
      </c>
      <c r="B49" t="s">
        <v>512</v>
      </c>
      <c r="C49" t="s">
        <v>115</v>
      </c>
      <c r="D49" t="s">
        <v>469</v>
      </c>
      <c r="E49" t="s">
        <v>233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 t="s">
        <v>568</v>
      </c>
      <c r="O49">
        <v>1</v>
      </c>
    </row>
    <row r="50" spans="1:15" x14ac:dyDescent="0.2">
      <c r="A50" t="s">
        <v>530</v>
      </c>
      <c r="B50" t="s">
        <v>563</v>
      </c>
      <c r="C50" t="s">
        <v>224</v>
      </c>
      <c r="D50" t="s">
        <v>569</v>
      </c>
      <c r="E50" t="s">
        <v>536</v>
      </c>
      <c r="F50">
        <v>0</v>
      </c>
      <c r="G50">
        <v>1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 t="s">
        <v>570</v>
      </c>
      <c r="O50">
        <v>1</v>
      </c>
    </row>
    <row r="51" spans="1:15" x14ac:dyDescent="0.2">
      <c r="A51" t="s">
        <v>477</v>
      </c>
      <c r="B51" t="s">
        <v>154</v>
      </c>
      <c r="C51" t="s">
        <v>252</v>
      </c>
      <c r="D51" t="s">
        <v>571</v>
      </c>
      <c r="E51" t="s">
        <v>106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 t="s">
        <v>572</v>
      </c>
      <c r="O51">
        <v>1</v>
      </c>
    </row>
    <row r="52" spans="1:15" x14ac:dyDescent="0.2">
      <c r="A52" t="s">
        <v>460</v>
      </c>
      <c r="B52" t="s">
        <v>110</v>
      </c>
      <c r="C52" t="s">
        <v>224</v>
      </c>
      <c r="D52" t="s">
        <v>296</v>
      </c>
      <c r="E52" t="s">
        <v>255</v>
      </c>
      <c r="F52">
        <v>1</v>
      </c>
      <c r="G52">
        <v>0</v>
      </c>
      <c r="H52">
        <v>1</v>
      </c>
      <c r="I52">
        <v>0</v>
      </c>
      <c r="J52">
        <v>0</v>
      </c>
      <c r="K52">
        <v>1</v>
      </c>
      <c r="L52">
        <v>0</v>
      </c>
      <c r="M52">
        <v>0</v>
      </c>
      <c r="N52" t="s">
        <v>573</v>
      </c>
      <c r="O52">
        <v>1</v>
      </c>
    </row>
    <row r="53" spans="1:15" x14ac:dyDescent="0.2">
      <c r="A53" t="s">
        <v>473</v>
      </c>
      <c r="B53" t="s">
        <v>486</v>
      </c>
      <c r="C53" t="s">
        <v>151</v>
      </c>
      <c r="D53" t="s">
        <v>574</v>
      </c>
      <c r="E53" t="s">
        <v>161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 t="s">
        <v>575</v>
      </c>
      <c r="O53">
        <v>1</v>
      </c>
    </row>
    <row r="54" spans="1:15" x14ac:dyDescent="0.2">
      <c r="A54" t="s">
        <v>500</v>
      </c>
      <c r="B54" t="s">
        <v>178</v>
      </c>
      <c r="C54" t="s">
        <v>307</v>
      </c>
      <c r="D54" t="s">
        <v>519</v>
      </c>
      <c r="E54" t="s">
        <v>493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1</v>
      </c>
      <c r="N54" t="s">
        <v>576</v>
      </c>
      <c r="O54">
        <v>1</v>
      </c>
    </row>
    <row r="55" spans="1:15" x14ac:dyDescent="0.2">
      <c r="A55" t="s">
        <v>523</v>
      </c>
      <c r="B55" t="s">
        <v>213</v>
      </c>
      <c r="C55" t="s">
        <v>503</v>
      </c>
      <c r="D55" t="s">
        <v>296</v>
      </c>
      <c r="E55" t="s">
        <v>239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1</v>
      </c>
      <c r="N55" t="s">
        <v>577</v>
      </c>
      <c r="O55">
        <v>1</v>
      </c>
    </row>
    <row r="56" spans="1:15" x14ac:dyDescent="0.2">
      <c r="A56" t="s">
        <v>578</v>
      </c>
      <c r="B56" t="s">
        <v>579</v>
      </c>
      <c r="C56" t="s">
        <v>484</v>
      </c>
      <c r="D56" t="s">
        <v>232</v>
      </c>
      <c r="E56" t="s">
        <v>233</v>
      </c>
      <c r="F56">
        <v>0</v>
      </c>
      <c r="G56">
        <v>1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 t="s">
        <v>580</v>
      </c>
      <c r="O56">
        <v>1</v>
      </c>
    </row>
    <row r="57" spans="1:15" x14ac:dyDescent="0.2">
      <c r="A57" t="s">
        <v>468</v>
      </c>
      <c r="B57" t="s">
        <v>129</v>
      </c>
      <c r="C57" t="s">
        <v>252</v>
      </c>
      <c r="D57" t="s">
        <v>213</v>
      </c>
      <c r="E57" t="s">
        <v>485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581</v>
      </c>
      <c r="O57">
        <v>1</v>
      </c>
    </row>
    <row r="58" spans="1:15" x14ac:dyDescent="0.2">
      <c r="A58" t="s">
        <v>468</v>
      </c>
      <c r="B58" t="s">
        <v>582</v>
      </c>
      <c r="C58" t="s">
        <v>252</v>
      </c>
      <c r="D58" t="s">
        <v>512</v>
      </c>
      <c r="E58" t="s">
        <v>233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 t="s">
        <v>583</v>
      </c>
      <c r="O58">
        <v>1</v>
      </c>
    </row>
    <row r="59" spans="1:15" x14ac:dyDescent="0.2">
      <c r="A59" t="s">
        <v>526</v>
      </c>
      <c r="B59" t="s">
        <v>469</v>
      </c>
      <c r="C59" t="s">
        <v>528</v>
      </c>
      <c r="D59" t="s">
        <v>469</v>
      </c>
      <c r="E59" t="s">
        <v>482</v>
      </c>
      <c r="F59">
        <v>1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 t="s">
        <v>584</v>
      </c>
      <c r="O59">
        <v>1</v>
      </c>
    </row>
    <row r="60" spans="1:15" x14ac:dyDescent="0.2">
      <c r="A60" t="s">
        <v>519</v>
      </c>
      <c r="B60" t="s">
        <v>469</v>
      </c>
      <c r="C60" t="s">
        <v>252</v>
      </c>
      <c r="D60" t="s">
        <v>469</v>
      </c>
      <c r="E60" t="s">
        <v>534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 t="s">
        <v>478</v>
      </c>
      <c r="O60">
        <v>1</v>
      </c>
    </row>
    <row r="61" spans="1:15" x14ac:dyDescent="0.2">
      <c r="A61" t="s">
        <v>564</v>
      </c>
      <c r="B61" t="s">
        <v>115</v>
      </c>
      <c r="C61" t="s">
        <v>252</v>
      </c>
      <c r="D61" t="s">
        <v>295</v>
      </c>
      <c r="E61" t="s">
        <v>239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 t="s">
        <v>585</v>
      </c>
      <c r="O61">
        <v>1</v>
      </c>
    </row>
    <row r="62" spans="1:15" x14ac:dyDescent="0.2">
      <c r="A62" t="s">
        <v>534</v>
      </c>
      <c r="B62" t="s">
        <v>469</v>
      </c>
      <c r="C62" t="s">
        <v>252</v>
      </c>
      <c r="D62" t="s">
        <v>469</v>
      </c>
      <c r="E62" t="s">
        <v>502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1</v>
      </c>
      <c r="N62" t="s">
        <v>586</v>
      </c>
      <c r="O62">
        <v>1</v>
      </c>
    </row>
    <row r="63" spans="1:15" x14ac:dyDescent="0.2">
      <c r="A63" t="s">
        <v>559</v>
      </c>
      <c r="B63" t="s">
        <v>512</v>
      </c>
      <c r="C63" t="s">
        <v>558</v>
      </c>
      <c r="D63" t="s">
        <v>469</v>
      </c>
      <c r="E63" t="s">
        <v>154</v>
      </c>
      <c r="F63">
        <v>1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 t="s">
        <v>587</v>
      </c>
      <c r="O63">
        <v>1</v>
      </c>
    </row>
    <row r="64" spans="1:15" x14ac:dyDescent="0.2">
      <c r="A64" t="s">
        <v>563</v>
      </c>
      <c r="B64" t="s">
        <v>588</v>
      </c>
      <c r="C64" t="s">
        <v>224</v>
      </c>
      <c r="D64" t="s">
        <v>239</v>
      </c>
      <c r="E64" t="s">
        <v>255</v>
      </c>
      <c r="F64">
        <v>1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 t="s">
        <v>589</v>
      </c>
      <c r="O64">
        <v>1</v>
      </c>
    </row>
    <row r="65" spans="1:15" x14ac:dyDescent="0.2">
      <c r="A65" t="s">
        <v>526</v>
      </c>
      <c r="B65" t="s">
        <v>252</v>
      </c>
      <c r="C65" t="s">
        <v>125</v>
      </c>
      <c r="D65" t="s">
        <v>129</v>
      </c>
      <c r="E65" t="s">
        <v>134</v>
      </c>
      <c r="F65">
        <v>1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1</v>
      </c>
      <c r="N65" t="s">
        <v>590</v>
      </c>
      <c r="O65">
        <v>1</v>
      </c>
    </row>
    <row r="66" spans="1:15" x14ac:dyDescent="0.2">
      <c r="A66" t="s">
        <v>526</v>
      </c>
      <c r="B66" t="s">
        <v>591</v>
      </c>
      <c r="C66" t="s">
        <v>151</v>
      </c>
      <c r="D66" t="s">
        <v>592</v>
      </c>
      <c r="E66" t="s">
        <v>151</v>
      </c>
      <c r="F66">
        <v>0</v>
      </c>
      <c r="G66">
        <v>1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 t="s">
        <v>593</v>
      </c>
      <c r="O66">
        <v>1</v>
      </c>
    </row>
    <row r="67" spans="1:15" x14ac:dyDescent="0.2">
      <c r="A67" t="s">
        <v>492</v>
      </c>
      <c r="B67" t="s">
        <v>151</v>
      </c>
      <c r="C67" t="s">
        <v>151</v>
      </c>
      <c r="D67" t="s">
        <v>178</v>
      </c>
      <c r="E67" t="s">
        <v>233</v>
      </c>
      <c r="F67">
        <v>1</v>
      </c>
      <c r="G67">
        <v>0</v>
      </c>
      <c r="H67">
        <v>1</v>
      </c>
      <c r="I67">
        <v>0</v>
      </c>
      <c r="J67">
        <v>0</v>
      </c>
      <c r="K67">
        <v>1</v>
      </c>
      <c r="L67">
        <v>0</v>
      </c>
      <c r="M67">
        <v>1</v>
      </c>
      <c r="N67" t="s">
        <v>594</v>
      </c>
      <c r="O67">
        <v>1</v>
      </c>
    </row>
    <row r="68" spans="1:15" x14ac:dyDescent="0.2">
      <c r="A68" t="s">
        <v>479</v>
      </c>
      <c r="B68" t="s">
        <v>469</v>
      </c>
      <c r="C68" t="s">
        <v>528</v>
      </c>
      <c r="D68" t="s">
        <v>469</v>
      </c>
      <c r="E68" t="s">
        <v>92</v>
      </c>
      <c r="F68">
        <v>0</v>
      </c>
      <c r="G68">
        <v>1</v>
      </c>
      <c r="H68">
        <v>0</v>
      </c>
      <c r="I68">
        <v>1</v>
      </c>
      <c r="J68">
        <v>0</v>
      </c>
      <c r="K68">
        <v>1</v>
      </c>
      <c r="L68">
        <v>0</v>
      </c>
      <c r="M68">
        <v>1</v>
      </c>
      <c r="N68" t="s">
        <v>595</v>
      </c>
      <c r="O68">
        <v>1</v>
      </c>
    </row>
    <row r="69" spans="1:15" x14ac:dyDescent="0.2">
      <c r="A69" t="s">
        <v>559</v>
      </c>
      <c r="B69" t="s">
        <v>596</v>
      </c>
      <c r="C69" t="s">
        <v>224</v>
      </c>
      <c r="D69" t="s">
        <v>519</v>
      </c>
      <c r="E69" t="s">
        <v>511</v>
      </c>
      <c r="F69">
        <v>0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 t="s">
        <v>597</v>
      </c>
      <c r="O69">
        <v>1</v>
      </c>
    </row>
    <row r="70" spans="1:15" x14ac:dyDescent="0.2">
      <c r="A70" t="s">
        <v>526</v>
      </c>
      <c r="B70" t="s">
        <v>541</v>
      </c>
      <c r="C70" t="s">
        <v>115</v>
      </c>
      <c r="D70" t="s">
        <v>598</v>
      </c>
      <c r="E70" t="s">
        <v>482</v>
      </c>
      <c r="F70">
        <v>1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 t="s">
        <v>161</v>
      </c>
      <c r="O70">
        <v>1</v>
      </c>
    </row>
    <row r="71" spans="1:15" x14ac:dyDescent="0.2">
      <c r="A71" t="s">
        <v>519</v>
      </c>
      <c r="B71" t="s">
        <v>483</v>
      </c>
      <c r="C71" t="s">
        <v>528</v>
      </c>
      <c r="D71" t="s">
        <v>213</v>
      </c>
      <c r="E71" t="s">
        <v>517</v>
      </c>
      <c r="F71">
        <v>1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1</v>
      </c>
      <c r="N71" t="s">
        <v>599</v>
      </c>
      <c r="O71">
        <v>1</v>
      </c>
    </row>
    <row r="72" spans="1:15" x14ac:dyDescent="0.2">
      <c r="A72" t="s">
        <v>458</v>
      </c>
      <c r="B72" t="s">
        <v>469</v>
      </c>
      <c r="C72" t="s">
        <v>252</v>
      </c>
      <c r="D72" t="s">
        <v>469</v>
      </c>
      <c r="E72" t="s">
        <v>103</v>
      </c>
      <c r="F72">
        <v>1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 t="s">
        <v>600</v>
      </c>
      <c r="O72">
        <v>1</v>
      </c>
    </row>
    <row r="73" spans="1:15" x14ac:dyDescent="0.2">
      <c r="A73" t="s">
        <v>462</v>
      </c>
      <c r="B73" t="s">
        <v>103</v>
      </c>
      <c r="C73" t="s">
        <v>129</v>
      </c>
      <c r="D73" t="s">
        <v>133</v>
      </c>
      <c r="E73" t="s">
        <v>582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1</v>
      </c>
      <c r="N73" t="s">
        <v>601</v>
      </c>
      <c r="O73">
        <v>1</v>
      </c>
    </row>
    <row r="74" spans="1:15" x14ac:dyDescent="0.2">
      <c r="A74" t="s">
        <v>602</v>
      </c>
      <c r="B74" t="s">
        <v>603</v>
      </c>
      <c r="C74" t="s">
        <v>252</v>
      </c>
      <c r="D74" t="s">
        <v>103</v>
      </c>
      <c r="E74" t="s">
        <v>482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604</v>
      </c>
      <c r="O74">
        <v>1</v>
      </c>
    </row>
    <row r="75" spans="1:15" x14ac:dyDescent="0.2">
      <c r="A75" t="s">
        <v>578</v>
      </c>
      <c r="B75" t="s">
        <v>464</v>
      </c>
      <c r="C75" t="s">
        <v>193</v>
      </c>
      <c r="D75" t="s">
        <v>605</v>
      </c>
      <c r="E75" t="s">
        <v>460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 t="s">
        <v>606</v>
      </c>
      <c r="O75">
        <v>1</v>
      </c>
    </row>
    <row r="76" spans="1:15" x14ac:dyDescent="0.2">
      <c r="A76" t="s">
        <v>471</v>
      </c>
      <c r="B76" t="s">
        <v>161</v>
      </c>
      <c r="C76" t="s">
        <v>252</v>
      </c>
      <c r="D76" t="s">
        <v>559</v>
      </c>
      <c r="E76" t="s">
        <v>607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 t="s">
        <v>608</v>
      </c>
      <c r="O76">
        <v>1</v>
      </c>
    </row>
    <row r="77" spans="1:15" x14ac:dyDescent="0.2">
      <c r="A77" t="s">
        <v>458</v>
      </c>
      <c r="B77" t="s">
        <v>462</v>
      </c>
      <c r="C77" t="s">
        <v>129</v>
      </c>
      <c r="D77" t="s">
        <v>609</v>
      </c>
      <c r="E77" t="s">
        <v>559</v>
      </c>
      <c r="F77">
        <v>0</v>
      </c>
      <c r="G77">
        <v>1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 t="s">
        <v>610</v>
      </c>
      <c r="O77">
        <v>1</v>
      </c>
    </row>
    <row r="78" spans="1:15" x14ac:dyDescent="0.2">
      <c r="A78" t="s">
        <v>492</v>
      </c>
      <c r="B78" t="s">
        <v>469</v>
      </c>
      <c r="C78" t="s">
        <v>151</v>
      </c>
      <c r="D78" t="s">
        <v>103</v>
      </c>
      <c r="E78" t="s">
        <v>255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1</v>
      </c>
      <c r="N78" t="s">
        <v>611</v>
      </c>
      <c r="O78">
        <v>1</v>
      </c>
    </row>
    <row r="79" spans="1:15" x14ac:dyDescent="0.2">
      <c r="A79" t="s">
        <v>526</v>
      </c>
      <c r="B79" t="s">
        <v>195</v>
      </c>
      <c r="C79" t="s">
        <v>503</v>
      </c>
      <c r="D79" t="s">
        <v>193</v>
      </c>
      <c r="E79" t="s">
        <v>233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1</v>
      </c>
      <c r="N79" t="s">
        <v>612</v>
      </c>
      <c r="O79">
        <v>1</v>
      </c>
    </row>
    <row r="80" spans="1:15" x14ac:dyDescent="0.2">
      <c r="A80" t="s">
        <v>530</v>
      </c>
      <c r="B80" t="s">
        <v>512</v>
      </c>
      <c r="C80" t="s">
        <v>213</v>
      </c>
      <c r="D80" t="s">
        <v>613</v>
      </c>
      <c r="E80" t="s">
        <v>133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 t="s">
        <v>614</v>
      </c>
      <c r="O80">
        <v>1</v>
      </c>
    </row>
    <row r="81" spans="1:15" x14ac:dyDescent="0.2">
      <c r="A81" t="s">
        <v>607</v>
      </c>
      <c r="B81" t="s">
        <v>615</v>
      </c>
      <c r="C81" t="s">
        <v>252</v>
      </c>
      <c r="D81" t="s">
        <v>534</v>
      </c>
      <c r="E81" t="s">
        <v>92</v>
      </c>
      <c r="F81">
        <v>1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 t="s">
        <v>616</v>
      </c>
      <c r="O81">
        <v>1</v>
      </c>
    </row>
    <row r="82" spans="1:15" x14ac:dyDescent="0.2">
      <c r="A82" t="s">
        <v>523</v>
      </c>
      <c r="B82" t="s">
        <v>617</v>
      </c>
      <c r="C82" t="s">
        <v>224</v>
      </c>
      <c r="D82" t="s">
        <v>618</v>
      </c>
      <c r="E82" t="s">
        <v>255</v>
      </c>
      <c r="F82">
        <v>1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 t="s">
        <v>619</v>
      </c>
      <c r="O82">
        <v>1</v>
      </c>
    </row>
    <row r="83" spans="1:15" x14ac:dyDescent="0.2">
      <c r="A83" t="s">
        <v>488</v>
      </c>
      <c r="B83" t="s">
        <v>620</v>
      </c>
      <c r="C83" t="s">
        <v>252</v>
      </c>
      <c r="D83" t="s">
        <v>526</v>
      </c>
      <c r="E83" t="s">
        <v>92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 t="s">
        <v>621</v>
      </c>
      <c r="O83">
        <v>1</v>
      </c>
    </row>
    <row r="84" spans="1:15" x14ac:dyDescent="0.2">
      <c r="A84" t="s">
        <v>602</v>
      </c>
      <c r="B84" t="s">
        <v>499</v>
      </c>
      <c r="C84" t="s">
        <v>129</v>
      </c>
      <c r="D84" t="s">
        <v>622</v>
      </c>
      <c r="E84" t="s">
        <v>239</v>
      </c>
      <c r="F84">
        <v>1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1</v>
      </c>
      <c r="N84" t="s">
        <v>623</v>
      </c>
      <c r="O84">
        <v>1</v>
      </c>
    </row>
    <row r="85" spans="1:15" x14ac:dyDescent="0.2">
      <c r="A85" t="s">
        <v>253</v>
      </c>
      <c r="B85" t="s">
        <v>226</v>
      </c>
      <c r="C85" t="s">
        <v>129</v>
      </c>
      <c r="D85" t="s">
        <v>117</v>
      </c>
      <c r="E85" t="s">
        <v>193</v>
      </c>
      <c r="F85">
        <v>0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 t="s">
        <v>470</v>
      </c>
      <c r="O85">
        <v>1</v>
      </c>
    </row>
    <row r="86" spans="1:15" x14ac:dyDescent="0.2">
      <c r="A86" t="s">
        <v>523</v>
      </c>
      <c r="B86" t="s">
        <v>213</v>
      </c>
      <c r="C86" t="s">
        <v>252</v>
      </c>
      <c r="D86" t="s">
        <v>509</v>
      </c>
      <c r="E86" t="s">
        <v>233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1</v>
      </c>
      <c r="N86" t="s">
        <v>624</v>
      </c>
      <c r="O86">
        <v>1</v>
      </c>
    </row>
    <row r="87" spans="1:15" x14ac:dyDescent="0.2">
      <c r="A87" t="s">
        <v>488</v>
      </c>
      <c r="B87" t="s">
        <v>486</v>
      </c>
      <c r="C87" t="s">
        <v>129</v>
      </c>
      <c r="D87" t="s">
        <v>625</v>
      </c>
      <c r="E87" t="s">
        <v>178</v>
      </c>
      <c r="F87">
        <v>1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1</v>
      </c>
      <c r="N87" t="s">
        <v>626</v>
      </c>
      <c r="O87">
        <v>1</v>
      </c>
    </row>
    <row r="88" spans="1:15" x14ac:dyDescent="0.2">
      <c r="A88" t="s">
        <v>519</v>
      </c>
      <c r="B88" t="s">
        <v>151</v>
      </c>
      <c r="C88" t="s">
        <v>252</v>
      </c>
      <c r="D88" t="s">
        <v>252</v>
      </c>
      <c r="E88" t="s">
        <v>233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 t="s">
        <v>301</v>
      </c>
      <c r="O88">
        <v>1</v>
      </c>
    </row>
    <row r="89" spans="1:15" x14ac:dyDescent="0.2">
      <c r="A89" t="s">
        <v>517</v>
      </c>
      <c r="B89" t="s">
        <v>193</v>
      </c>
      <c r="C89" t="s">
        <v>129</v>
      </c>
      <c r="D89" t="s">
        <v>469</v>
      </c>
      <c r="E89" t="s">
        <v>133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 t="s">
        <v>495</v>
      </c>
      <c r="O89">
        <v>1</v>
      </c>
    </row>
    <row r="90" spans="1:15" x14ac:dyDescent="0.2">
      <c r="A90" t="s">
        <v>462</v>
      </c>
      <c r="B90" t="s">
        <v>627</v>
      </c>
      <c r="C90" t="s">
        <v>115</v>
      </c>
      <c r="D90" t="s">
        <v>628</v>
      </c>
      <c r="E90" t="s">
        <v>231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 t="s">
        <v>629</v>
      </c>
      <c r="O90">
        <v>1</v>
      </c>
    </row>
    <row r="91" spans="1:15" x14ac:dyDescent="0.2">
      <c r="A91" t="s">
        <v>536</v>
      </c>
      <c r="B91" t="s">
        <v>485</v>
      </c>
      <c r="C91" t="s">
        <v>129</v>
      </c>
      <c r="D91" t="s">
        <v>258</v>
      </c>
      <c r="E91" t="s">
        <v>233</v>
      </c>
      <c r="F91">
        <v>1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 t="s">
        <v>630</v>
      </c>
      <c r="O91">
        <v>1</v>
      </c>
    </row>
    <row r="92" spans="1:15" x14ac:dyDescent="0.2">
      <c r="A92" t="s">
        <v>492</v>
      </c>
      <c r="B92" t="s">
        <v>554</v>
      </c>
      <c r="C92" t="s">
        <v>129</v>
      </c>
      <c r="D92" t="s">
        <v>206</v>
      </c>
      <c r="E92" t="s">
        <v>552</v>
      </c>
      <c r="F92">
        <v>1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  <c r="M92">
        <v>0</v>
      </c>
      <c r="N92" t="s">
        <v>631</v>
      </c>
      <c r="O92">
        <v>1</v>
      </c>
    </row>
    <row r="93" spans="1:15" x14ac:dyDescent="0.2">
      <c r="A93" t="s">
        <v>632</v>
      </c>
      <c r="B93" t="s">
        <v>605</v>
      </c>
      <c r="C93" t="s">
        <v>252</v>
      </c>
      <c r="D93" t="s">
        <v>633</v>
      </c>
      <c r="E93" t="s">
        <v>193</v>
      </c>
      <c r="F93">
        <v>1</v>
      </c>
      <c r="G93">
        <v>0</v>
      </c>
      <c r="H93">
        <v>0</v>
      </c>
      <c r="I93">
        <v>1</v>
      </c>
      <c r="J93">
        <v>0</v>
      </c>
      <c r="K93">
        <v>1</v>
      </c>
      <c r="L93">
        <v>0</v>
      </c>
      <c r="M93">
        <v>1</v>
      </c>
      <c r="N93" t="s">
        <v>634</v>
      </c>
      <c r="O93">
        <v>1</v>
      </c>
    </row>
    <row r="94" spans="1:15" x14ac:dyDescent="0.2">
      <c r="A94" t="s">
        <v>552</v>
      </c>
      <c r="B94" t="s">
        <v>213</v>
      </c>
      <c r="C94" t="s">
        <v>129</v>
      </c>
      <c r="D94" t="s">
        <v>103</v>
      </c>
      <c r="E94" t="s">
        <v>239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 t="s">
        <v>635</v>
      </c>
      <c r="O94">
        <v>1</v>
      </c>
    </row>
    <row r="95" spans="1:15" x14ac:dyDescent="0.2">
      <c r="A95" t="s">
        <v>523</v>
      </c>
      <c r="B95" t="s">
        <v>224</v>
      </c>
      <c r="C95" t="s">
        <v>151</v>
      </c>
      <c r="D95" t="s">
        <v>252</v>
      </c>
      <c r="E95" t="s">
        <v>531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 t="s">
        <v>549</v>
      </c>
      <c r="O95">
        <v>1</v>
      </c>
    </row>
    <row r="96" spans="1:15" x14ac:dyDescent="0.2">
      <c r="A96" t="s">
        <v>602</v>
      </c>
      <c r="B96" t="s">
        <v>519</v>
      </c>
      <c r="C96" t="s">
        <v>224</v>
      </c>
      <c r="D96" t="s">
        <v>250</v>
      </c>
      <c r="E96" t="s">
        <v>154</v>
      </c>
      <c r="F96">
        <v>1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 t="s">
        <v>636</v>
      </c>
      <c r="O96">
        <v>1</v>
      </c>
    </row>
    <row r="97" spans="1:15" x14ac:dyDescent="0.2">
      <c r="A97" t="s">
        <v>468</v>
      </c>
      <c r="B97" t="s">
        <v>534</v>
      </c>
      <c r="C97" t="s">
        <v>528</v>
      </c>
      <c r="D97" t="s">
        <v>637</v>
      </c>
      <c r="E97" t="s">
        <v>536</v>
      </c>
      <c r="F97">
        <v>1</v>
      </c>
      <c r="G97">
        <v>0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 t="s">
        <v>638</v>
      </c>
      <c r="O97">
        <v>1</v>
      </c>
    </row>
    <row r="98" spans="1:15" x14ac:dyDescent="0.2">
      <c r="A98" t="s">
        <v>500</v>
      </c>
      <c r="B98" t="s">
        <v>473</v>
      </c>
      <c r="C98" t="s">
        <v>252</v>
      </c>
      <c r="D98" t="s">
        <v>639</v>
      </c>
      <c r="E98" t="s">
        <v>493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1</v>
      </c>
      <c r="N98" t="s">
        <v>640</v>
      </c>
      <c r="O98">
        <v>1</v>
      </c>
    </row>
    <row r="99" spans="1:15" x14ac:dyDescent="0.2">
      <c r="A99" t="s">
        <v>632</v>
      </c>
      <c r="B99" t="s">
        <v>129</v>
      </c>
      <c r="C99" t="s">
        <v>307</v>
      </c>
      <c r="D99" t="s">
        <v>469</v>
      </c>
      <c r="E99" t="s">
        <v>110</v>
      </c>
      <c r="F99">
        <v>1</v>
      </c>
      <c r="G99">
        <v>0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 t="s">
        <v>641</v>
      </c>
      <c r="O99">
        <v>1</v>
      </c>
    </row>
    <row r="100" spans="1:15" x14ac:dyDescent="0.2">
      <c r="A100" t="s">
        <v>477</v>
      </c>
      <c r="B100" t="s">
        <v>469</v>
      </c>
      <c r="C100" t="s">
        <v>252</v>
      </c>
      <c r="D100" t="s">
        <v>469</v>
      </c>
      <c r="E100" t="s">
        <v>154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 t="s">
        <v>642</v>
      </c>
      <c r="O100">
        <v>1</v>
      </c>
    </row>
    <row r="101" spans="1:15" x14ac:dyDescent="0.2">
      <c r="A101" t="s">
        <v>471</v>
      </c>
      <c r="B101" t="s">
        <v>224</v>
      </c>
      <c r="C101" t="s">
        <v>484</v>
      </c>
      <c r="D101" t="s">
        <v>129</v>
      </c>
      <c r="E101" t="s">
        <v>602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 t="s">
        <v>643</v>
      </c>
      <c r="O101">
        <v>1</v>
      </c>
    </row>
    <row r="102" spans="1:15" x14ac:dyDescent="0.2">
      <c r="A102" t="s">
        <v>471</v>
      </c>
      <c r="B102" t="s">
        <v>644</v>
      </c>
      <c r="C102" t="s">
        <v>252</v>
      </c>
      <c r="D102" t="s">
        <v>484</v>
      </c>
      <c r="E102" t="s">
        <v>233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 t="s">
        <v>645</v>
      </c>
      <c r="O102">
        <v>1</v>
      </c>
    </row>
    <row r="103" spans="1:15" x14ac:dyDescent="0.2">
      <c r="A103" t="s">
        <v>523</v>
      </c>
      <c r="B103" t="s">
        <v>484</v>
      </c>
      <c r="C103" t="s">
        <v>307</v>
      </c>
      <c r="D103" t="s">
        <v>213</v>
      </c>
      <c r="E103" t="s">
        <v>92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 t="s">
        <v>646</v>
      </c>
      <c r="O103">
        <v>1</v>
      </c>
    </row>
    <row r="104" spans="1:15" x14ac:dyDescent="0.2">
      <c r="A104" t="s">
        <v>559</v>
      </c>
      <c r="B104" t="s">
        <v>485</v>
      </c>
      <c r="C104" t="s">
        <v>129</v>
      </c>
      <c r="D104" t="s">
        <v>468</v>
      </c>
      <c r="E104" t="s">
        <v>602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 t="s">
        <v>647</v>
      </c>
      <c r="O104">
        <v>1</v>
      </c>
    </row>
    <row r="105" spans="1:15" x14ac:dyDescent="0.2">
      <c r="A105" t="s">
        <v>541</v>
      </c>
      <c r="B105" t="s">
        <v>296</v>
      </c>
      <c r="C105" t="s">
        <v>110</v>
      </c>
      <c r="D105" t="s">
        <v>558</v>
      </c>
      <c r="E105" t="s">
        <v>607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 t="s">
        <v>193</v>
      </c>
      <c r="O105">
        <v>1</v>
      </c>
    </row>
    <row r="106" spans="1:15" x14ac:dyDescent="0.2">
      <c r="A106" t="s">
        <v>530</v>
      </c>
      <c r="B106" t="s">
        <v>231</v>
      </c>
      <c r="C106" t="s">
        <v>213</v>
      </c>
      <c r="D106" t="s">
        <v>648</v>
      </c>
      <c r="E106" t="s">
        <v>460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  <c r="N106" t="s">
        <v>649</v>
      </c>
      <c r="O106">
        <v>1</v>
      </c>
    </row>
    <row r="107" spans="1:15" x14ac:dyDescent="0.2">
      <c r="A107" t="s">
        <v>517</v>
      </c>
      <c r="B107" t="s">
        <v>115</v>
      </c>
      <c r="C107" t="s">
        <v>213</v>
      </c>
      <c r="D107" t="s">
        <v>484</v>
      </c>
      <c r="E107" t="s">
        <v>458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1</v>
      </c>
      <c r="N107" t="s">
        <v>650</v>
      </c>
      <c r="O107">
        <v>1</v>
      </c>
    </row>
    <row r="108" spans="1:15" x14ac:dyDescent="0.2">
      <c r="A108" t="s">
        <v>462</v>
      </c>
      <c r="B108" t="s">
        <v>272</v>
      </c>
      <c r="C108" t="s">
        <v>151</v>
      </c>
      <c r="D108" t="s">
        <v>651</v>
      </c>
      <c r="E108" t="s">
        <v>511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1</v>
      </c>
      <c r="N108" t="s">
        <v>652</v>
      </c>
      <c r="O108">
        <v>1</v>
      </c>
    </row>
    <row r="109" spans="1:15" x14ac:dyDescent="0.2">
      <c r="A109" t="s">
        <v>468</v>
      </c>
      <c r="B109" t="s">
        <v>653</v>
      </c>
      <c r="C109" t="s">
        <v>224</v>
      </c>
      <c r="D109" t="s">
        <v>250</v>
      </c>
      <c r="E109" t="s">
        <v>233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 t="s">
        <v>654</v>
      </c>
      <c r="O109">
        <v>1</v>
      </c>
    </row>
    <row r="110" spans="1:15" x14ac:dyDescent="0.2">
      <c r="A110" t="s">
        <v>482</v>
      </c>
      <c r="B110" t="s">
        <v>469</v>
      </c>
      <c r="C110" t="s">
        <v>151</v>
      </c>
      <c r="D110" t="s">
        <v>469</v>
      </c>
      <c r="E110" t="s">
        <v>607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1</v>
      </c>
      <c r="N110" t="s">
        <v>655</v>
      </c>
      <c r="O110">
        <v>1</v>
      </c>
    </row>
    <row r="111" spans="1:15" x14ac:dyDescent="0.2">
      <c r="A111" t="s">
        <v>471</v>
      </c>
      <c r="B111" t="s">
        <v>528</v>
      </c>
      <c r="C111" t="s">
        <v>224</v>
      </c>
      <c r="D111" t="s">
        <v>307</v>
      </c>
      <c r="E111" t="s">
        <v>133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1</v>
      </c>
      <c r="N111" t="s">
        <v>656</v>
      </c>
      <c r="O111">
        <v>1</v>
      </c>
    </row>
    <row r="112" spans="1:15" x14ac:dyDescent="0.2">
      <c r="A112" t="s">
        <v>523</v>
      </c>
      <c r="B112" t="s">
        <v>469</v>
      </c>
      <c r="C112" t="s">
        <v>129</v>
      </c>
      <c r="D112" t="s">
        <v>252</v>
      </c>
      <c r="E112" t="s">
        <v>233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0</v>
      </c>
      <c r="N112" t="s">
        <v>657</v>
      </c>
      <c r="O112">
        <v>1</v>
      </c>
    </row>
    <row r="113" spans="1:15" x14ac:dyDescent="0.2">
      <c r="A113" t="s">
        <v>471</v>
      </c>
      <c r="B113" t="s">
        <v>253</v>
      </c>
      <c r="C113" t="s">
        <v>252</v>
      </c>
      <c r="D113" t="s">
        <v>224</v>
      </c>
      <c r="E113" t="s">
        <v>493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 t="s">
        <v>658</v>
      </c>
      <c r="O113">
        <v>1</v>
      </c>
    </row>
    <row r="114" spans="1:15" x14ac:dyDescent="0.2">
      <c r="A114" t="s">
        <v>541</v>
      </c>
      <c r="B114" t="s">
        <v>231</v>
      </c>
      <c r="C114" t="s">
        <v>252</v>
      </c>
      <c r="D114" t="s">
        <v>251</v>
      </c>
      <c r="E114" t="s">
        <v>125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 t="s">
        <v>659</v>
      </c>
      <c r="O114">
        <v>1</v>
      </c>
    </row>
    <row r="115" spans="1:15" x14ac:dyDescent="0.2">
      <c r="A115" t="s">
        <v>458</v>
      </c>
      <c r="B115" t="s">
        <v>178</v>
      </c>
      <c r="C115" t="s">
        <v>252</v>
      </c>
      <c r="D115" t="s">
        <v>198</v>
      </c>
      <c r="E115" t="s">
        <v>193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 t="s">
        <v>660</v>
      </c>
      <c r="O115">
        <v>1</v>
      </c>
    </row>
    <row r="116" spans="1:15" x14ac:dyDescent="0.2">
      <c r="A116" t="s">
        <v>495</v>
      </c>
      <c r="B116" t="s">
        <v>511</v>
      </c>
      <c r="C116" t="s">
        <v>129</v>
      </c>
      <c r="D116" t="s">
        <v>255</v>
      </c>
      <c r="E116" t="s">
        <v>239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 t="s">
        <v>661</v>
      </c>
      <c r="O116">
        <v>1</v>
      </c>
    </row>
    <row r="117" spans="1:15" x14ac:dyDescent="0.2">
      <c r="A117" t="s">
        <v>526</v>
      </c>
      <c r="B117" t="s">
        <v>193</v>
      </c>
      <c r="C117" t="s">
        <v>115</v>
      </c>
      <c r="D117" t="s">
        <v>662</v>
      </c>
      <c r="E117" t="s">
        <v>106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 t="s">
        <v>663</v>
      </c>
      <c r="O117">
        <v>1</v>
      </c>
    </row>
    <row r="118" spans="1:15" x14ac:dyDescent="0.2">
      <c r="A118" t="s">
        <v>495</v>
      </c>
      <c r="B118" t="s">
        <v>468</v>
      </c>
      <c r="C118" t="s">
        <v>151</v>
      </c>
      <c r="D118" t="s">
        <v>664</v>
      </c>
      <c r="E118" t="s">
        <v>531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 t="s">
        <v>665</v>
      </c>
      <c r="O118">
        <v>1</v>
      </c>
    </row>
    <row r="119" spans="1:15" x14ac:dyDescent="0.2">
      <c r="A119" t="s">
        <v>517</v>
      </c>
      <c r="B119" t="s">
        <v>503</v>
      </c>
      <c r="C119" t="s">
        <v>252</v>
      </c>
      <c r="D119" t="s">
        <v>664</v>
      </c>
      <c r="E119" t="s">
        <v>250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0</v>
      </c>
      <c r="M119">
        <v>0</v>
      </c>
      <c r="N119" t="s">
        <v>666</v>
      </c>
      <c r="O119">
        <v>1</v>
      </c>
    </row>
    <row r="120" spans="1:15" x14ac:dyDescent="0.2">
      <c r="A120" t="s">
        <v>559</v>
      </c>
      <c r="B120" t="s">
        <v>667</v>
      </c>
      <c r="C120" t="s">
        <v>252</v>
      </c>
      <c r="D120" t="s">
        <v>668</v>
      </c>
      <c r="E120" t="s">
        <v>558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N120" t="s">
        <v>669</v>
      </c>
      <c r="O120">
        <v>1</v>
      </c>
    </row>
    <row r="121" spans="1:15" x14ac:dyDescent="0.2">
      <c r="A121" t="s">
        <v>458</v>
      </c>
      <c r="B121" t="s">
        <v>107</v>
      </c>
      <c r="C121" t="s">
        <v>213</v>
      </c>
      <c r="D121" t="s">
        <v>559</v>
      </c>
      <c r="E121" t="s">
        <v>133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1</v>
      </c>
      <c r="N121" t="s">
        <v>670</v>
      </c>
      <c r="O121">
        <v>1</v>
      </c>
    </row>
    <row r="122" spans="1:15" x14ac:dyDescent="0.2">
      <c r="A122" t="s">
        <v>534</v>
      </c>
      <c r="B122" t="s">
        <v>531</v>
      </c>
      <c r="C122" t="s">
        <v>252</v>
      </c>
      <c r="D122" t="s">
        <v>671</v>
      </c>
      <c r="E122" t="s">
        <v>154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 t="s">
        <v>672</v>
      </c>
      <c r="O122">
        <v>1</v>
      </c>
    </row>
    <row r="123" spans="1:15" x14ac:dyDescent="0.2">
      <c r="A123" t="s">
        <v>458</v>
      </c>
      <c r="B123" t="s">
        <v>103</v>
      </c>
      <c r="C123" t="s">
        <v>115</v>
      </c>
      <c r="D123" t="s">
        <v>488</v>
      </c>
      <c r="E123" t="s">
        <v>178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 t="s">
        <v>673</v>
      </c>
      <c r="O123">
        <v>1</v>
      </c>
    </row>
    <row r="124" spans="1:15" x14ac:dyDescent="0.2">
      <c r="A124" t="s">
        <v>534</v>
      </c>
      <c r="B124" t="s">
        <v>469</v>
      </c>
      <c r="C124" t="s">
        <v>115</v>
      </c>
      <c r="D124" t="s">
        <v>469</v>
      </c>
      <c r="E124" t="s">
        <v>517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 t="s">
        <v>674</v>
      </c>
      <c r="O124">
        <v>1</v>
      </c>
    </row>
    <row r="125" spans="1:15" x14ac:dyDescent="0.2">
      <c r="A125" t="s">
        <v>564</v>
      </c>
      <c r="B125" t="s">
        <v>224</v>
      </c>
      <c r="C125" t="s">
        <v>103</v>
      </c>
      <c r="D125" t="s">
        <v>469</v>
      </c>
      <c r="E125" t="s">
        <v>110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  <c r="N125" t="s">
        <v>675</v>
      </c>
      <c r="O125">
        <v>1</v>
      </c>
    </row>
    <row r="126" spans="1:15" x14ac:dyDescent="0.2">
      <c r="A126" t="s">
        <v>552</v>
      </c>
      <c r="B126" t="s">
        <v>115</v>
      </c>
      <c r="C126" t="s">
        <v>151</v>
      </c>
      <c r="D126" t="s">
        <v>531</v>
      </c>
      <c r="E126" t="s">
        <v>110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1</v>
      </c>
      <c r="N126" t="s">
        <v>676</v>
      </c>
      <c r="O126">
        <v>1</v>
      </c>
    </row>
    <row r="127" spans="1:15" x14ac:dyDescent="0.2">
      <c r="A127" t="s">
        <v>233</v>
      </c>
      <c r="B127" t="s">
        <v>129</v>
      </c>
      <c r="C127" t="s">
        <v>558</v>
      </c>
      <c r="D127" t="s">
        <v>151</v>
      </c>
      <c r="E127" t="s">
        <v>125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1</v>
      </c>
      <c r="N127" t="s">
        <v>639</v>
      </c>
      <c r="O127">
        <v>1</v>
      </c>
    </row>
    <row r="128" spans="1:15" x14ac:dyDescent="0.2">
      <c r="A128" t="s">
        <v>500</v>
      </c>
      <c r="B128" t="s">
        <v>469</v>
      </c>
      <c r="C128" t="s">
        <v>484</v>
      </c>
      <c r="D128" t="s">
        <v>528</v>
      </c>
      <c r="E128" t="s">
        <v>154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1</v>
      </c>
      <c r="N128" t="s">
        <v>677</v>
      </c>
      <c r="O128">
        <v>1</v>
      </c>
    </row>
    <row r="129" spans="1:15" x14ac:dyDescent="0.2">
      <c r="A129" t="s">
        <v>563</v>
      </c>
      <c r="B129" t="s">
        <v>552</v>
      </c>
      <c r="C129" t="s">
        <v>224</v>
      </c>
      <c r="D129" t="s">
        <v>216</v>
      </c>
      <c r="E129" t="s">
        <v>239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1</v>
      </c>
      <c r="N129" t="s">
        <v>678</v>
      </c>
      <c r="O129">
        <v>1</v>
      </c>
    </row>
    <row r="130" spans="1:15" x14ac:dyDescent="0.2">
      <c r="A130" t="s">
        <v>607</v>
      </c>
      <c r="B130" t="s">
        <v>471</v>
      </c>
      <c r="C130" t="s">
        <v>125</v>
      </c>
      <c r="D130" t="s">
        <v>554</v>
      </c>
      <c r="E130" t="s">
        <v>493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1</v>
      </c>
      <c r="N130" t="s">
        <v>679</v>
      </c>
      <c r="O130">
        <v>1</v>
      </c>
    </row>
    <row r="131" spans="1:15" x14ac:dyDescent="0.2">
      <c r="A131" t="s">
        <v>495</v>
      </c>
      <c r="B131" t="s">
        <v>175</v>
      </c>
      <c r="C131" t="s">
        <v>106</v>
      </c>
      <c r="D131" t="s">
        <v>307</v>
      </c>
      <c r="E131" t="s">
        <v>511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1</v>
      </c>
      <c r="N131" t="s">
        <v>680</v>
      </c>
      <c r="O131">
        <v>1</v>
      </c>
    </row>
    <row r="132" spans="1:15" x14ac:dyDescent="0.2">
      <c r="A132" t="s">
        <v>514</v>
      </c>
      <c r="B132" t="s">
        <v>155</v>
      </c>
      <c r="C132" t="s">
        <v>252</v>
      </c>
      <c r="D132" t="s">
        <v>151</v>
      </c>
      <c r="E132" t="s">
        <v>602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 t="s">
        <v>681</v>
      </c>
      <c r="O132">
        <v>1</v>
      </c>
    </row>
    <row r="133" spans="1:15" x14ac:dyDescent="0.2">
      <c r="A133" t="s">
        <v>495</v>
      </c>
      <c r="B133" t="s">
        <v>224</v>
      </c>
      <c r="C133" t="s">
        <v>129</v>
      </c>
      <c r="D133" t="s">
        <v>129</v>
      </c>
      <c r="E133" t="s">
        <v>239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0</v>
      </c>
      <c r="N133" t="s">
        <v>150</v>
      </c>
      <c r="O133">
        <v>1</v>
      </c>
    </row>
    <row r="134" spans="1:15" x14ac:dyDescent="0.2">
      <c r="A134" t="s">
        <v>607</v>
      </c>
      <c r="B134" t="s">
        <v>157</v>
      </c>
      <c r="C134" t="s">
        <v>224</v>
      </c>
      <c r="D134" t="s">
        <v>251</v>
      </c>
      <c r="E134" t="s">
        <v>193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1</v>
      </c>
      <c r="N134" t="s">
        <v>682</v>
      </c>
      <c r="O134">
        <v>1</v>
      </c>
    </row>
    <row r="135" spans="1:15" x14ac:dyDescent="0.2">
      <c r="A135" t="s">
        <v>462</v>
      </c>
      <c r="B135" t="s">
        <v>683</v>
      </c>
      <c r="C135" t="s">
        <v>129</v>
      </c>
      <c r="D135" t="s">
        <v>684</v>
      </c>
      <c r="E135" t="s">
        <v>92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1</v>
      </c>
      <c r="L135">
        <v>0</v>
      </c>
      <c r="M135">
        <v>0</v>
      </c>
      <c r="N135" t="s">
        <v>685</v>
      </c>
      <c r="O135">
        <v>1</v>
      </c>
    </row>
    <row r="136" spans="1:15" x14ac:dyDescent="0.2">
      <c r="A136" t="s">
        <v>495</v>
      </c>
      <c r="B136" t="s">
        <v>552</v>
      </c>
      <c r="C136" t="s">
        <v>115</v>
      </c>
      <c r="D136" t="s">
        <v>110</v>
      </c>
      <c r="E136" t="s">
        <v>178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1</v>
      </c>
      <c r="N136" t="s">
        <v>116</v>
      </c>
      <c r="O136">
        <v>1</v>
      </c>
    </row>
    <row r="137" spans="1:15" x14ac:dyDescent="0.2">
      <c r="A137" t="s">
        <v>253</v>
      </c>
      <c r="B137" t="s">
        <v>632</v>
      </c>
      <c r="C137" t="s">
        <v>129</v>
      </c>
      <c r="D137" t="s">
        <v>492</v>
      </c>
      <c r="E137" t="s">
        <v>92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1</v>
      </c>
      <c r="N137" t="s">
        <v>686</v>
      </c>
      <c r="O137">
        <v>1</v>
      </c>
    </row>
    <row r="138" spans="1:15" x14ac:dyDescent="0.2">
      <c r="A138" t="s">
        <v>578</v>
      </c>
      <c r="B138" t="s">
        <v>687</v>
      </c>
      <c r="C138" t="s">
        <v>115</v>
      </c>
      <c r="D138" t="s">
        <v>688</v>
      </c>
      <c r="E138" t="s">
        <v>295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 t="s">
        <v>689</v>
      </c>
      <c r="O138">
        <v>1</v>
      </c>
    </row>
    <row r="139" spans="1:15" x14ac:dyDescent="0.2">
      <c r="A139" t="s">
        <v>607</v>
      </c>
      <c r="B139" t="s">
        <v>484</v>
      </c>
      <c r="C139" t="s">
        <v>307</v>
      </c>
      <c r="D139" t="s">
        <v>103</v>
      </c>
      <c r="E139" t="s">
        <v>193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 t="s">
        <v>690</v>
      </c>
      <c r="O139">
        <v>1</v>
      </c>
    </row>
    <row r="140" spans="1:15" x14ac:dyDescent="0.2">
      <c r="A140" t="s">
        <v>471</v>
      </c>
      <c r="B140" t="s">
        <v>499</v>
      </c>
      <c r="C140" t="s">
        <v>252</v>
      </c>
      <c r="D140" t="s">
        <v>691</v>
      </c>
      <c r="E140" t="s">
        <v>255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0</v>
      </c>
      <c r="N140" t="s">
        <v>692</v>
      </c>
      <c r="O140">
        <v>1</v>
      </c>
    </row>
    <row r="141" spans="1:15" x14ac:dyDescent="0.2">
      <c r="A141" t="s">
        <v>495</v>
      </c>
      <c r="B141" t="s">
        <v>693</v>
      </c>
      <c r="C141" t="s">
        <v>224</v>
      </c>
      <c r="D141" t="s">
        <v>284</v>
      </c>
      <c r="E141" t="s">
        <v>536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1</v>
      </c>
      <c r="M141">
        <v>0</v>
      </c>
      <c r="N141" t="s">
        <v>694</v>
      </c>
      <c r="O141">
        <v>1</v>
      </c>
    </row>
    <row r="142" spans="1:15" x14ac:dyDescent="0.2">
      <c r="A142" t="s">
        <v>468</v>
      </c>
      <c r="B142" t="s">
        <v>564</v>
      </c>
      <c r="C142" t="s">
        <v>129</v>
      </c>
      <c r="D142" t="s">
        <v>582</v>
      </c>
      <c r="E142" t="s">
        <v>250</v>
      </c>
      <c r="F142">
        <v>1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 t="s">
        <v>695</v>
      </c>
      <c r="O142">
        <v>1</v>
      </c>
    </row>
    <row r="143" spans="1:15" x14ac:dyDescent="0.2">
      <c r="A143" t="s">
        <v>534</v>
      </c>
      <c r="B143" t="s">
        <v>252</v>
      </c>
      <c r="C143" t="s">
        <v>224</v>
      </c>
      <c r="D143" t="s">
        <v>252</v>
      </c>
      <c r="E143" t="s">
        <v>92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1</v>
      </c>
      <c r="M143">
        <v>1</v>
      </c>
      <c r="N143" t="s">
        <v>696</v>
      </c>
      <c r="O143">
        <v>1</v>
      </c>
    </row>
    <row r="144" spans="1:15" x14ac:dyDescent="0.2">
      <c r="A144" t="s">
        <v>482</v>
      </c>
      <c r="B144" t="s">
        <v>558</v>
      </c>
      <c r="C144" t="s">
        <v>252</v>
      </c>
      <c r="D144" t="s">
        <v>503</v>
      </c>
      <c r="E144" t="s">
        <v>558</v>
      </c>
      <c r="F144">
        <v>1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 t="s">
        <v>697</v>
      </c>
      <c r="O144">
        <v>1</v>
      </c>
    </row>
    <row r="145" spans="1:15" x14ac:dyDescent="0.2">
      <c r="A145" t="s">
        <v>482</v>
      </c>
      <c r="B145" t="s">
        <v>698</v>
      </c>
      <c r="C145" t="s">
        <v>129</v>
      </c>
      <c r="D145" t="s">
        <v>469</v>
      </c>
      <c r="E145" t="s">
        <v>154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1</v>
      </c>
      <c r="N145" t="s">
        <v>223</v>
      </c>
      <c r="O145">
        <v>1</v>
      </c>
    </row>
    <row r="146" spans="1:15" x14ac:dyDescent="0.2">
      <c r="A146" t="s">
        <v>541</v>
      </c>
      <c r="B146" t="s">
        <v>115</v>
      </c>
      <c r="C146" t="s">
        <v>151</v>
      </c>
      <c r="D146" t="s">
        <v>106</v>
      </c>
      <c r="E146" t="s">
        <v>255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 t="s">
        <v>699</v>
      </c>
      <c r="O146">
        <v>1</v>
      </c>
    </row>
    <row r="147" spans="1:15" x14ac:dyDescent="0.2">
      <c r="A147" t="s">
        <v>517</v>
      </c>
      <c r="B147" t="s">
        <v>499</v>
      </c>
      <c r="C147" t="s">
        <v>129</v>
      </c>
      <c r="D147" t="s">
        <v>193</v>
      </c>
      <c r="E147" t="s">
        <v>239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1</v>
      </c>
      <c r="N147" t="s">
        <v>700</v>
      </c>
      <c r="O147">
        <v>1</v>
      </c>
    </row>
    <row r="148" spans="1:15" x14ac:dyDescent="0.2">
      <c r="A148" t="s">
        <v>471</v>
      </c>
      <c r="B148" t="s">
        <v>203</v>
      </c>
      <c r="C148" t="s">
        <v>252</v>
      </c>
      <c r="D148" t="s">
        <v>493</v>
      </c>
      <c r="E148" t="s">
        <v>178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1</v>
      </c>
      <c r="N148" t="s">
        <v>701</v>
      </c>
      <c r="O148">
        <v>1</v>
      </c>
    </row>
    <row r="149" spans="1:15" x14ac:dyDescent="0.2">
      <c r="A149" t="s">
        <v>554</v>
      </c>
      <c r="B149" t="s">
        <v>151</v>
      </c>
      <c r="C149" t="s">
        <v>224</v>
      </c>
      <c r="D149" t="s">
        <v>250</v>
      </c>
      <c r="E149" t="s">
        <v>239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1</v>
      </c>
      <c r="N149" t="s">
        <v>272</v>
      </c>
      <c r="O149">
        <v>1</v>
      </c>
    </row>
    <row r="150" spans="1:15" x14ac:dyDescent="0.2">
      <c r="A150" t="s">
        <v>564</v>
      </c>
      <c r="B150" t="s">
        <v>542</v>
      </c>
      <c r="C150" t="s">
        <v>129</v>
      </c>
      <c r="D150" t="s">
        <v>485</v>
      </c>
      <c r="E150" t="s">
        <v>536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 t="s">
        <v>702</v>
      </c>
      <c r="O150">
        <v>1</v>
      </c>
    </row>
    <row r="151" spans="1:15" x14ac:dyDescent="0.2">
      <c r="A151" t="s">
        <v>477</v>
      </c>
      <c r="B151" t="s">
        <v>511</v>
      </c>
      <c r="C151" t="s">
        <v>161</v>
      </c>
      <c r="D151" t="s">
        <v>295</v>
      </c>
      <c r="E151" t="s">
        <v>536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 t="s">
        <v>703</v>
      </c>
      <c r="O151">
        <v>1</v>
      </c>
    </row>
    <row r="152" spans="1:15" x14ac:dyDescent="0.2">
      <c r="A152" t="s">
        <v>607</v>
      </c>
      <c r="B152" t="s">
        <v>704</v>
      </c>
      <c r="C152" t="s">
        <v>129</v>
      </c>
      <c r="D152" t="s">
        <v>137</v>
      </c>
      <c r="E152" t="s">
        <v>493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 t="s">
        <v>271</v>
      </c>
      <c r="O152">
        <v>1</v>
      </c>
    </row>
    <row r="153" spans="1:15" x14ac:dyDescent="0.2">
      <c r="A153" t="s">
        <v>482</v>
      </c>
      <c r="B153" t="s">
        <v>469</v>
      </c>
      <c r="C153" t="s">
        <v>213</v>
      </c>
      <c r="D153" t="s">
        <v>469</v>
      </c>
      <c r="E153" t="s">
        <v>233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1</v>
      </c>
      <c r="N153" t="s">
        <v>705</v>
      </c>
      <c r="O153">
        <v>1</v>
      </c>
    </row>
    <row r="154" spans="1:15" x14ac:dyDescent="0.2">
      <c r="A154" t="s">
        <v>466</v>
      </c>
      <c r="B154" t="s">
        <v>77</v>
      </c>
      <c r="C154" t="s">
        <v>151</v>
      </c>
      <c r="D154" t="s">
        <v>706</v>
      </c>
      <c r="E154" t="s">
        <v>531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 t="s">
        <v>707</v>
      </c>
      <c r="O154">
        <v>1</v>
      </c>
    </row>
    <row r="155" spans="1:15" x14ac:dyDescent="0.2">
      <c r="A155" t="s">
        <v>477</v>
      </c>
      <c r="B155" t="s">
        <v>213</v>
      </c>
      <c r="C155" t="s">
        <v>252</v>
      </c>
      <c r="D155" t="s">
        <v>213</v>
      </c>
      <c r="E155" t="s">
        <v>133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 t="s">
        <v>708</v>
      </c>
      <c r="O155">
        <v>1</v>
      </c>
    </row>
    <row r="156" spans="1:15" x14ac:dyDescent="0.2">
      <c r="A156" t="s">
        <v>563</v>
      </c>
      <c r="B156" t="s">
        <v>469</v>
      </c>
      <c r="C156" t="s">
        <v>484</v>
      </c>
      <c r="D156" t="s">
        <v>469</v>
      </c>
      <c r="E156" t="s">
        <v>233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 t="s">
        <v>709</v>
      </c>
      <c r="O156">
        <v>1</v>
      </c>
    </row>
    <row r="157" spans="1:15" x14ac:dyDescent="0.2">
      <c r="A157" t="s">
        <v>473</v>
      </c>
      <c r="B157" t="s">
        <v>710</v>
      </c>
      <c r="C157" t="s">
        <v>151</v>
      </c>
      <c r="D157" t="s">
        <v>711</v>
      </c>
      <c r="E157" t="s">
        <v>295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0</v>
      </c>
      <c r="N157" t="s">
        <v>712</v>
      </c>
      <c r="O157">
        <v>1</v>
      </c>
    </row>
    <row r="158" spans="1:15" x14ac:dyDescent="0.2">
      <c r="A158" t="s">
        <v>602</v>
      </c>
      <c r="B158" t="s">
        <v>193</v>
      </c>
      <c r="C158" t="s">
        <v>528</v>
      </c>
      <c r="D158" t="s">
        <v>142</v>
      </c>
      <c r="E158" t="s">
        <v>239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1</v>
      </c>
      <c r="N158" t="s">
        <v>642</v>
      </c>
      <c r="O158">
        <v>1</v>
      </c>
    </row>
    <row r="159" spans="1:15" x14ac:dyDescent="0.2">
      <c r="A159" t="s">
        <v>530</v>
      </c>
      <c r="B159" t="s">
        <v>250</v>
      </c>
      <c r="C159" t="s">
        <v>252</v>
      </c>
      <c r="D159" t="s">
        <v>492</v>
      </c>
      <c r="E159" t="s">
        <v>133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  <c r="N159" t="s">
        <v>572</v>
      </c>
      <c r="O159">
        <v>1</v>
      </c>
    </row>
    <row r="160" spans="1:15" x14ac:dyDescent="0.2">
      <c r="A160" t="s">
        <v>519</v>
      </c>
      <c r="B160" t="s">
        <v>490</v>
      </c>
      <c r="C160" t="s">
        <v>296</v>
      </c>
      <c r="D160" t="s">
        <v>544</v>
      </c>
      <c r="E160" t="s">
        <v>154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 t="s">
        <v>713</v>
      </c>
      <c r="O160">
        <v>1</v>
      </c>
    </row>
    <row r="161" spans="1:15" x14ac:dyDescent="0.2">
      <c r="A161" t="s">
        <v>554</v>
      </c>
      <c r="B161" t="s">
        <v>714</v>
      </c>
      <c r="C161" t="s">
        <v>224</v>
      </c>
      <c r="D161" t="s">
        <v>671</v>
      </c>
      <c r="E161" t="s">
        <v>503</v>
      </c>
      <c r="F161">
        <v>1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 t="s">
        <v>715</v>
      </c>
      <c r="O161">
        <v>1</v>
      </c>
    </row>
    <row r="162" spans="1:15" x14ac:dyDescent="0.2">
      <c r="A162" t="s">
        <v>500</v>
      </c>
      <c r="B162" t="s">
        <v>469</v>
      </c>
      <c r="C162" t="s">
        <v>528</v>
      </c>
      <c r="D162" t="s">
        <v>469</v>
      </c>
      <c r="E162" t="s">
        <v>133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0</v>
      </c>
      <c r="M162">
        <v>0</v>
      </c>
      <c r="N162" t="s">
        <v>502</v>
      </c>
      <c r="O162">
        <v>1</v>
      </c>
    </row>
    <row r="163" spans="1:15" x14ac:dyDescent="0.2">
      <c r="A163" t="s">
        <v>559</v>
      </c>
      <c r="B163" t="s">
        <v>129</v>
      </c>
      <c r="C163" t="s">
        <v>252</v>
      </c>
      <c r="D163" t="s">
        <v>469</v>
      </c>
      <c r="E163" t="s">
        <v>460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0</v>
      </c>
      <c r="N163" t="s">
        <v>716</v>
      </c>
      <c r="O163">
        <v>1</v>
      </c>
    </row>
    <row r="164" spans="1:15" x14ac:dyDescent="0.2">
      <c r="A164" t="s">
        <v>514</v>
      </c>
      <c r="B164" t="s">
        <v>154</v>
      </c>
      <c r="C164" t="s">
        <v>133</v>
      </c>
      <c r="D164" t="s">
        <v>224</v>
      </c>
      <c r="E164" t="s">
        <v>257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1</v>
      </c>
      <c r="N164" t="s">
        <v>717</v>
      </c>
      <c r="O164">
        <v>1</v>
      </c>
    </row>
    <row r="165" spans="1:15" x14ac:dyDescent="0.2">
      <c r="A165" t="s">
        <v>514</v>
      </c>
      <c r="B165" t="s">
        <v>536</v>
      </c>
      <c r="C165" t="s">
        <v>252</v>
      </c>
      <c r="D165" t="s">
        <v>239</v>
      </c>
      <c r="E165" t="s">
        <v>602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 t="s">
        <v>718</v>
      </c>
      <c r="O165">
        <v>1</v>
      </c>
    </row>
    <row r="166" spans="1:15" x14ac:dyDescent="0.2">
      <c r="A166" t="s">
        <v>526</v>
      </c>
      <c r="B166" t="s">
        <v>257</v>
      </c>
      <c r="C166" t="s">
        <v>224</v>
      </c>
      <c r="D166" t="s">
        <v>469</v>
      </c>
      <c r="E166" t="s">
        <v>154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1</v>
      </c>
      <c r="N166" t="s">
        <v>719</v>
      </c>
      <c r="O166">
        <v>1</v>
      </c>
    </row>
    <row r="167" spans="1:15" x14ac:dyDescent="0.2">
      <c r="A167" t="s">
        <v>526</v>
      </c>
      <c r="B167" t="s">
        <v>125</v>
      </c>
      <c r="C167" t="s">
        <v>129</v>
      </c>
      <c r="D167" t="s">
        <v>296</v>
      </c>
      <c r="E167" t="s">
        <v>499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1</v>
      </c>
      <c r="N167" t="s">
        <v>720</v>
      </c>
      <c r="O167">
        <v>1</v>
      </c>
    </row>
    <row r="168" spans="1:15" x14ac:dyDescent="0.2">
      <c r="A168" t="s">
        <v>253</v>
      </c>
      <c r="B168" t="s">
        <v>577</v>
      </c>
      <c r="C168" t="s">
        <v>252</v>
      </c>
      <c r="D168" t="s">
        <v>166</v>
      </c>
      <c r="E168" t="s">
        <v>110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 t="s">
        <v>721</v>
      </c>
      <c r="O168">
        <v>1</v>
      </c>
    </row>
    <row r="169" spans="1:15" x14ac:dyDescent="0.2">
      <c r="A169" t="s">
        <v>530</v>
      </c>
      <c r="B169" t="s">
        <v>519</v>
      </c>
      <c r="C169" t="s">
        <v>103</v>
      </c>
      <c r="D169" t="s">
        <v>722</v>
      </c>
      <c r="E169" t="s">
        <v>221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1</v>
      </c>
      <c r="N169" t="s">
        <v>723</v>
      </c>
      <c r="O169">
        <v>1</v>
      </c>
    </row>
    <row r="170" spans="1:15" x14ac:dyDescent="0.2">
      <c r="A170" t="s">
        <v>512</v>
      </c>
      <c r="B170" t="s">
        <v>255</v>
      </c>
      <c r="C170" t="s">
        <v>224</v>
      </c>
      <c r="D170" t="s">
        <v>253</v>
      </c>
      <c r="E170" t="s">
        <v>154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 t="s">
        <v>644</v>
      </c>
      <c r="O170">
        <v>1</v>
      </c>
    </row>
    <row r="171" spans="1:15" x14ac:dyDescent="0.2">
      <c r="A171" t="s">
        <v>488</v>
      </c>
      <c r="B171" t="s">
        <v>706</v>
      </c>
      <c r="C171" t="s">
        <v>129</v>
      </c>
      <c r="D171" t="s">
        <v>724</v>
      </c>
      <c r="E171" t="s">
        <v>295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 t="s">
        <v>725</v>
      </c>
      <c r="O171">
        <v>1</v>
      </c>
    </row>
    <row r="172" spans="1:15" x14ac:dyDescent="0.2">
      <c r="A172" t="s">
        <v>559</v>
      </c>
      <c r="B172" t="s">
        <v>129</v>
      </c>
      <c r="C172" t="s">
        <v>129</v>
      </c>
      <c r="D172" t="s">
        <v>469</v>
      </c>
      <c r="E172" t="s">
        <v>460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N172" t="s">
        <v>726</v>
      </c>
      <c r="O172">
        <v>1</v>
      </c>
    </row>
    <row r="173" spans="1:15" x14ac:dyDescent="0.2">
      <c r="A173" t="s">
        <v>462</v>
      </c>
      <c r="B173" t="s">
        <v>727</v>
      </c>
      <c r="C173" t="s">
        <v>252</v>
      </c>
      <c r="D173" t="s">
        <v>728</v>
      </c>
      <c r="E173" t="s">
        <v>103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 t="s">
        <v>729</v>
      </c>
      <c r="O173">
        <v>1</v>
      </c>
    </row>
    <row r="174" spans="1:15" x14ac:dyDescent="0.2">
      <c r="A174" t="s">
        <v>477</v>
      </c>
      <c r="B174" t="s">
        <v>521</v>
      </c>
      <c r="C174" t="s">
        <v>252</v>
      </c>
      <c r="D174" t="s">
        <v>307</v>
      </c>
      <c r="E174" t="s">
        <v>493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 t="s">
        <v>730</v>
      </c>
      <c r="O174">
        <v>1</v>
      </c>
    </row>
    <row r="175" spans="1:15" x14ac:dyDescent="0.2">
      <c r="A175" t="s">
        <v>578</v>
      </c>
      <c r="B175" t="s">
        <v>528</v>
      </c>
      <c r="C175" t="s">
        <v>224</v>
      </c>
      <c r="D175" t="s">
        <v>239</v>
      </c>
      <c r="E175" t="s">
        <v>493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 t="s">
        <v>731</v>
      </c>
      <c r="O175">
        <v>1</v>
      </c>
    </row>
    <row r="176" spans="1:15" x14ac:dyDescent="0.2">
      <c r="A176" t="s">
        <v>607</v>
      </c>
      <c r="B176" t="s">
        <v>732</v>
      </c>
      <c r="C176" t="s">
        <v>307</v>
      </c>
      <c r="D176" t="s">
        <v>142</v>
      </c>
      <c r="E176" t="s">
        <v>154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 t="s">
        <v>733</v>
      </c>
      <c r="O176">
        <v>1</v>
      </c>
    </row>
    <row r="177" spans="1:15" x14ac:dyDescent="0.2">
      <c r="A177" t="s">
        <v>477</v>
      </c>
      <c r="B177" t="s">
        <v>531</v>
      </c>
      <c r="C177" t="s">
        <v>213</v>
      </c>
      <c r="D177" t="s">
        <v>558</v>
      </c>
      <c r="E177" t="s">
        <v>582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 t="s">
        <v>689</v>
      </c>
      <c r="O177">
        <v>1</v>
      </c>
    </row>
    <row r="178" spans="1:15" x14ac:dyDescent="0.2">
      <c r="A178" t="s">
        <v>559</v>
      </c>
      <c r="B178" t="s">
        <v>734</v>
      </c>
      <c r="C178" t="s">
        <v>115</v>
      </c>
      <c r="D178" t="s">
        <v>90</v>
      </c>
      <c r="E178" t="s">
        <v>502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1</v>
      </c>
      <c r="N178" t="s">
        <v>735</v>
      </c>
      <c r="O178">
        <v>1</v>
      </c>
    </row>
    <row r="179" spans="1:15" x14ac:dyDescent="0.2">
      <c r="A179" t="s">
        <v>530</v>
      </c>
      <c r="B179" t="s">
        <v>564</v>
      </c>
      <c r="C179" t="s">
        <v>252</v>
      </c>
      <c r="D179" t="s">
        <v>492</v>
      </c>
      <c r="E179" t="s">
        <v>493</v>
      </c>
      <c r="F179">
        <v>1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 t="s">
        <v>736</v>
      </c>
      <c r="O179">
        <v>1</v>
      </c>
    </row>
    <row r="180" spans="1:15" x14ac:dyDescent="0.2">
      <c r="A180" t="s">
        <v>519</v>
      </c>
      <c r="B180" t="s">
        <v>252</v>
      </c>
      <c r="C180" t="s">
        <v>484</v>
      </c>
      <c r="D180" t="s">
        <v>252</v>
      </c>
      <c r="E180" t="s">
        <v>250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1</v>
      </c>
      <c r="N180" t="s">
        <v>737</v>
      </c>
      <c r="O180">
        <v>1</v>
      </c>
    </row>
    <row r="181" spans="1:15" x14ac:dyDescent="0.2">
      <c r="A181" t="s">
        <v>477</v>
      </c>
      <c r="B181" t="s">
        <v>738</v>
      </c>
      <c r="C181" t="s">
        <v>252</v>
      </c>
      <c r="D181" t="s">
        <v>739</v>
      </c>
      <c r="E181" t="s">
        <v>161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 t="s">
        <v>740</v>
      </c>
      <c r="O181">
        <v>1</v>
      </c>
    </row>
    <row r="182" spans="1:15" x14ac:dyDescent="0.2">
      <c r="A182" t="s">
        <v>541</v>
      </c>
      <c r="B182" t="s">
        <v>741</v>
      </c>
      <c r="C182" t="s">
        <v>129</v>
      </c>
      <c r="D182" t="s">
        <v>742</v>
      </c>
      <c r="E182" t="s">
        <v>133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1</v>
      </c>
      <c r="N182" t="s">
        <v>249</v>
      </c>
      <c r="O182">
        <v>1</v>
      </c>
    </row>
    <row r="183" spans="1:15" x14ac:dyDescent="0.2">
      <c r="A183" t="s">
        <v>536</v>
      </c>
      <c r="B183" t="s">
        <v>458</v>
      </c>
      <c r="C183" t="s">
        <v>224</v>
      </c>
      <c r="D183" t="s">
        <v>743</v>
      </c>
      <c r="E183" t="s">
        <v>233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 t="s">
        <v>744</v>
      </c>
      <c r="O183">
        <v>1</v>
      </c>
    </row>
    <row r="184" spans="1:15" x14ac:dyDescent="0.2">
      <c r="A184" t="s">
        <v>602</v>
      </c>
      <c r="B184" t="s">
        <v>745</v>
      </c>
      <c r="C184" t="s">
        <v>151</v>
      </c>
      <c r="D184" t="s">
        <v>268</v>
      </c>
      <c r="E184" t="s">
        <v>477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1</v>
      </c>
      <c r="N184" t="s">
        <v>746</v>
      </c>
      <c r="O184">
        <v>1</v>
      </c>
    </row>
    <row r="185" spans="1:15" x14ac:dyDescent="0.2">
      <c r="A185" t="s">
        <v>485</v>
      </c>
      <c r="B185" t="s">
        <v>747</v>
      </c>
      <c r="C185" t="s">
        <v>224</v>
      </c>
      <c r="D185" t="s">
        <v>748</v>
      </c>
      <c r="E185" t="s">
        <v>531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1</v>
      </c>
      <c r="N185" t="s">
        <v>505</v>
      </c>
      <c r="O185">
        <v>1</v>
      </c>
    </row>
    <row r="186" spans="1:15" x14ac:dyDescent="0.2">
      <c r="A186" t="s">
        <v>578</v>
      </c>
      <c r="B186" t="s">
        <v>503</v>
      </c>
      <c r="C186" t="s">
        <v>151</v>
      </c>
      <c r="D186" t="s">
        <v>484</v>
      </c>
      <c r="E186" t="s">
        <v>110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 t="s">
        <v>483</v>
      </c>
      <c r="O186">
        <v>1</v>
      </c>
    </row>
    <row r="187" spans="1:15" x14ac:dyDescent="0.2">
      <c r="A187" t="s">
        <v>554</v>
      </c>
      <c r="B187" t="s">
        <v>503</v>
      </c>
      <c r="C187" t="s">
        <v>503</v>
      </c>
      <c r="D187" t="s">
        <v>154</v>
      </c>
      <c r="E187" t="s">
        <v>499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 t="s">
        <v>301</v>
      </c>
      <c r="O187">
        <v>1</v>
      </c>
    </row>
    <row r="188" spans="1:15" x14ac:dyDescent="0.2">
      <c r="A188" t="s">
        <v>526</v>
      </c>
      <c r="B188" t="s">
        <v>558</v>
      </c>
      <c r="C188" t="s">
        <v>224</v>
      </c>
      <c r="D188" t="s">
        <v>133</v>
      </c>
      <c r="E188" t="s">
        <v>154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 t="s">
        <v>749</v>
      </c>
      <c r="O188">
        <v>1</v>
      </c>
    </row>
    <row r="189" spans="1:15" x14ac:dyDescent="0.2">
      <c r="A189" t="s">
        <v>563</v>
      </c>
      <c r="B189" t="s">
        <v>85</v>
      </c>
      <c r="C189" t="s">
        <v>252</v>
      </c>
      <c r="D189" t="s">
        <v>750</v>
      </c>
      <c r="E189" t="s">
        <v>534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 t="s">
        <v>751</v>
      </c>
      <c r="O189">
        <v>1</v>
      </c>
    </row>
    <row r="190" spans="1:15" x14ac:dyDescent="0.2">
      <c r="A190" t="s">
        <v>253</v>
      </c>
      <c r="B190" t="s">
        <v>193</v>
      </c>
      <c r="C190" t="s">
        <v>224</v>
      </c>
      <c r="D190" t="s">
        <v>231</v>
      </c>
      <c r="E190" t="s">
        <v>552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0</v>
      </c>
      <c r="N190" t="s">
        <v>752</v>
      </c>
      <c r="O190">
        <v>1</v>
      </c>
    </row>
    <row r="191" spans="1:15" x14ac:dyDescent="0.2">
      <c r="A191" t="s">
        <v>466</v>
      </c>
      <c r="B191" t="s">
        <v>493</v>
      </c>
      <c r="C191" t="s">
        <v>224</v>
      </c>
      <c r="D191" t="s">
        <v>753</v>
      </c>
      <c r="E191" t="s">
        <v>239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1</v>
      </c>
      <c r="N191" t="s">
        <v>186</v>
      </c>
      <c r="O191">
        <v>1</v>
      </c>
    </row>
    <row r="192" spans="1:15" x14ac:dyDescent="0.2">
      <c r="A192" t="s">
        <v>514</v>
      </c>
      <c r="B192" t="s">
        <v>190</v>
      </c>
      <c r="C192" t="s">
        <v>224</v>
      </c>
      <c r="D192" t="s">
        <v>120</v>
      </c>
      <c r="E192" t="s">
        <v>295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 t="s">
        <v>487</v>
      </c>
      <c r="O192">
        <v>1</v>
      </c>
    </row>
    <row r="193" spans="1:15" x14ac:dyDescent="0.2">
      <c r="A193" t="s">
        <v>582</v>
      </c>
      <c r="B193" t="s">
        <v>484</v>
      </c>
      <c r="C193" t="s">
        <v>582</v>
      </c>
      <c r="D193" t="s">
        <v>632</v>
      </c>
      <c r="E193" t="s">
        <v>193</v>
      </c>
      <c r="F193">
        <v>1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1</v>
      </c>
      <c r="M193">
        <v>1</v>
      </c>
      <c r="N193" t="s">
        <v>754</v>
      </c>
      <c r="O193">
        <v>1</v>
      </c>
    </row>
    <row r="194" spans="1:15" x14ac:dyDescent="0.2">
      <c r="A194" t="s">
        <v>514</v>
      </c>
      <c r="B194" t="s">
        <v>536</v>
      </c>
      <c r="C194" t="s">
        <v>129</v>
      </c>
      <c r="D194" t="s">
        <v>755</v>
      </c>
      <c r="E194" t="s">
        <v>133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 t="s">
        <v>756</v>
      </c>
      <c r="O194">
        <v>1</v>
      </c>
    </row>
    <row r="195" spans="1:15" x14ac:dyDescent="0.2">
      <c r="A195" t="s">
        <v>745</v>
      </c>
      <c r="B195" t="s">
        <v>469</v>
      </c>
      <c r="C195" t="s">
        <v>231</v>
      </c>
      <c r="D195" t="s">
        <v>558</v>
      </c>
      <c r="E195" t="s">
        <v>500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1</v>
      </c>
      <c r="N195" t="s">
        <v>537</v>
      </c>
      <c r="O195">
        <v>1</v>
      </c>
    </row>
    <row r="196" spans="1:15" x14ac:dyDescent="0.2">
      <c r="A196" t="s">
        <v>519</v>
      </c>
      <c r="B196" t="s">
        <v>252</v>
      </c>
      <c r="C196" t="s">
        <v>252</v>
      </c>
      <c r="D196" t="s">
        <v>252</v>
      </c>
      <c r="E196" t="s">
        <v>133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1</v>
      </c>
      <c r="N196" t="s">
        <v>730</v>
      </c>
      <c r="O196">
        <v>1</v>
      </c>
    </row>
    <row r="197" spans="1:15" x14ac:dyDescent="0.2">
      <c r="A197" t="s">
        <v>468</v>
      </c>
      <c r="B197" t="s">
        <v>231</v>
      </c>
      <c r="C197" t="s">
        <v>558</v>
      </c>
      <c r="D197" t="s">
        <v>559</v>
      </c>
      <c r="E197" t="s">
        <v>178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 t="s">
        <v>757</v>
      </c>
      <c r="O197">
        <v>1</v>
      </c>
    </row>
    <row r="198" spans="1:15" x14ac:dyDescent="0.2">
      <c r="A198" t="s">
        <v>536</v>
      </c>
      <c r="B198" t="s">
        <v>295</v>
      </c>
      <c r="C198" t="s">
        <v>151</v>
      </c>
      <c r="D198" t="s">
        <v>92</v>
      </c>
      <c r="E198" t="s">
        <v>296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 t="s">
        <v>481</v>
      </c>
      <c r="O198">
        <v>1</v>
      </c>
    </row>
    <row r="199" spans="1:15" x14ac:dyDescent="0.2">
      <c r="A199" t="s">
        <v>495</v>
      </c>
      <c r="B199" t="s">
        <v>596</v>
      </c>
      <c r="C199" t="s">
        <v>115</v>
      </c>
      <c r="D199" t="s">
        <v>92</v>
      </c>
      <c r="E199" t="s">
        <v>514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1</v>
      </c>
      <c r="N199" t="s">
        <v>758</v>
      </c>
      <c r="O199">
        <v>1</v>
      </c>
    </row>
    <row r="200" spans="1:15" x14ac:dyDescent="0.2">
      <c r="A200" t="s">
        <v>477</v>
      </c>
      <c r="B200" t="s">
        <v>277</v>
      </c>
      <c r="C200" t="s">
        <v>115</v>
      </c>
      <c r="D200" t="s">
        <v>244</v>
      </c>
      <c r="E200" t="s">
        <v>233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0</v>
      </c>
      <c r="N200" t="s">
        <v>759</v>
      </c>
      <c r="O200">
        <v>1</v>
      </c>
    </row>
    <row r="201" spans="1:15" x14ac:dyDescent="0.2">
      <c r="A201" t="s">
        <v>530</v>
      </c>
      <c r="B201" t="s">
        <v>129</v>
      </c>
      <c r="C201" t="s">
        <v>161</v>
      </c>
      <c r="D201" t="s">
        <v>103</v>
      </c>
      <c r="E201" t="s">
        <v>493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1</v>
      </c>
      <c r="N201" t="s">
        <v>760</v>
      </c>
      <c r="O201">
        <v>1</v>
      </c>
    </row>
    <row r="202" spans="1:15" x14ac:dyDescent="0.2">
      <c r="A202" t="s">
        <v>761</v>
      </c>
      <c r="B202" t="s">
        <v>257</v>
      </c>
      <c r="C202" t="s">
        <v>252</v>
      </c>
      <c r="D202" t="s">
        <v>607</v>
      </c>
      <c r="E202" t="s">
        <v>239</v>
      </c>
      <c r="F202">
        <v>0</v>
      </c>
      <c r="G202">
        <v>1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 t="s">
        <v>762</v>
      </c>
      <c r="O202">
        <v>1</v>
      </c>
    </row>
    <row r="203" spans="1:15" x14ac:dyDescent="0.2">
      <c r="A203" t="s">
        <v>564</v>
      </c>
      <c r="B203" t="s">
        <v>564</v>
      </c>
      <c r="C203" t="s">
        <v>213</v>
      </c>
      <c r="D203" t="s">
        <v>460</v>
      </c>
      <c r="E203" t="s">
        <v>103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1</v>
      </c>
      <c r="N203" t="s">
        <v>763</v>
      </c>
      <c r="O203">
        <v>1</v>
      </c>
    </row>
    <row r="204" spans="1:15" x14ac:dyDescent="0.2">
      <c r="A204" t="s">
        <v>482</v>
      </c>
      <c r="B204" t="s">
        <v>764</v>
      </c>
      <c r="C204" t="s">
        <v>252</v>
      </c>
      <c r="D204" t="s">
        <v>765</v>
      </c>
      <c r="E204" t="s">
        <v>233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1</v>
      </c>
      <c r="N204" t="s">
        <v>290</v>
      </c>
      <c r="O204">
        <v>1</v>
      </c>
    </row>
    <row r="205" spans="1:15" x14ac:dyDescent="0.2">
      <c r="A205" t="s">
        <v>530</v>
      </c>
      <c r="B205" t="s">
        <v>231</v>
      </c>
      <c r="C205" t="s">
        <v>115</v>
      </c>
      <c r="D205" t="s">
        <v>766</v>
      </c>
      <c r="E205" t="s">
        <v>253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 t="s">
        <v>660</v>
      </c>
      <c r="O205">
        <v>1</v>
      </c>
    </row>
    <row r="206" spans="1:15" x14ac:dyDescent="0.2">
      <c r="A206" t="s">
        <v>519</v>
      </c>
      <c r="B206" t="s">
        <v>190</v>
      </c>
      <c r="C206" t="s">
        <v>307</v>
      </c>
      <c r="D206" t="s">
        <v>767</v>
      </c>
      <c r="E206" t="s">
        <v>492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0</v>
      </c>
      <c r="N206" t="s">
        <v>768</v>
      </c>
      <c r="O206">
        <v>1</v>
      </c>
    </row>
    <row r="207" spans="1:15" x14ac:dyDescent="0.2">
      <c r="A207" t="s">
        <v>517</v>
      </c>
      <c r="B207" t="s">
        <v>133</v>
      </c>
      <c r="C207" t="s">
        <v>125</v>
      </c>
      <c r="D207" t="s">
        <v>558</v>
      </c>
      <c r="E207" t="s">
        <v>233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  <c r="N207" t="s">
        <v>769</v>
      </c>
      <c r="O207">
        <v>1</v>
      </c>
    </row>
    <row r="208" spans="1:15" x14ac:dyDescent="0.2">
      <c r="A208" t="s">
        <v>514</v>
      </c>
      <c r="B208" t="s">
        <v>178</v>
      </c>
      <c r="C208" t="s">
        <v>151</v>
      </c>
      <c r="D208" t="s">
        <v>770</v>
      </c>
      <c r="E208" t="s">
        <v>460</v>
      </c>
      <c r="F208">
        <v>0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 t="s">
        <v>771</v>
      </c>
      <c r="O208">
        <v>1</v>
      </c>
    </row>
    <row r="209" spans="1:15" x14ac:dyDescent="0.2">
      <c r="A209" t="s">
        <v>536</v>
      </c>
      <c r="B209" t="s">
        <v>151</v>
      </c>
      <c r="C209" t="s">
        <v>151</v>
      </c>
      <c r="D209" t="s">
        <v>252</v>
      </c>
      <c r="E209" t="s">
        <v>239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1</v>
      </c>
      <c r="N209" t="s">
        <v>772</v>
      </c>
      <c r="O209">
        <v>1</v>
      </c>
    </row>
    <row r="210" spans="1:15" x14ac:dyDescent="0.2">
      <c r="A210" t="s">
        <v>492</v>
      </c>
      <c r="B210" t="s">
        <v>582</v>
      </c>
      <c r="C210" t="s">
        <v>252</v>
      </c>
      <c r="D210" t="s">
        <v>588</v>
      </c>
      <c r="E210" t="s">
        <v>154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 t="s">
        <v>685</v>
      </c>
      <c r="O210">
        <v>1</v>
      </c>
    </row>
    <row r="211" spans="1:15" x14ac:dyDescent="0.2">
      <c r="A211" t="s">
        <v>632</v>
      </c>
      <c r="B211" t="s">
        <v>502</v>
      </c>
      <c r="C211" t="s">
        <v>224</v>
      </c>
      <c r="D211" t="s">
        <v>193</v>
      </c>
      <c r="E211" t="s">
        <v>193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  <c r="N211" t="s">
        <v>773</v>
      </c>
      <c r="O211">
        <v>1</v>
      </c>
    </row>
    <row r="212" spans="1:15" x14ac:dyDescent="0.2">
      <c r="A212" t="s">
        <v>632</v>
      </c>
      <c r="B212" t="s">
        <v>774</v>
      </c>
      <c r="C212" t="s">
        <v>252</v>
      </c>
      <c r="D212" t="s">
        <v>96</v>
      </c>
      <c r="E212" t="s">
        <v>239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  <c r="N212" t="s">
        <v>775</v>
      </c>
      <c r="O212">
        <v>1</v>
      </c>
    </row>
    <row r="213" spans="1:15" x14ac:dyDescent="0.2">
      <c r="A213" t="s">
        <v>462</v>
      </c>
      <c r="B213" t="s">
        <v>129</v>
      </c>
      <c r="C213" t="s">
        <v>252</v>
      </c>
      <c r="D213" t="s">
        <v>151</v>
      </c>
      <c r="E213" t="s">
        <v>92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1</v>
      </c>
      <c r="N213" t="s">
        <v>776</v>
      </c>
      <c r="O213">
        <v>1</v>
      </c>
    </row>
    <row r="214" spans="1:15" x14ac:dyDescent="0.2">
      <c r="A214" t="s">
        <v>530</v>
      </c>
      <c r="B214" t="s">
        <v>777</v>
      </c>
      <c r="C214" t="s">
        <v>307</v>
      </c>
      <c r="D214" t="s">
        <v>778</v>
      </c>
      <c r="E214" t="s">
        <v>502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 t="s">
        <v>779</v>
      </c>
      <c r="O214">
        <v>1</v>
      </c>
    </row>
    <row r="215" spans="1:15" x14ac:dyDescent="0.2">
      <c r="A215" t="s">
        <v>468</v>
      </c>
      <c r="B215" t="s">
        <v>521</v>
      </c>
      <c r="C215" t="s">
        <v>151</v>
      </c>
      <c r="D215" t="s">
        <v>231</v>
      </c>
      <c r="E215" t="s">
        <v>255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 t="s">
        <v>780</v>
      </c>
      <c r="O215">
        <v>1</v>
      </c>
    </row>
    <row r="216" spans="1:15" x14ac:dyDescent="0.2">
      <c r="A216" t="s">
        <v>468</v>
      </c>
      <c r="B216" t="s">
        <v>151</v>
      </c>
      <c r="C216" t="s">
        <v>484</v>
      </c>
      <c r="D216" t="s">
        <v>224</v>
      </c>
      <c r="E216" t="s">
        <v>536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1</v>
      </c>
      <c r="N216" t="s">
        <v>781</v>
      </c>
      <c r="O216">
        <v>1</v>
      </c>
    </row>
    <row r="217" spans="1:15" x14ac:dyDescent="0.2">
      <c r="A217" t="s">
        <v>534</v>
      </c>
      <c r="B217" t="s">
        <v>558</v>
      </c>
      <c r="C217" t="s">
        <v>252</v>
      </c>
      <c r="D217" t="s">
        <v>213</v>
      </c>
      <c r="E217" t="s">
        <v>493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 t="s">
        <v>782</v>
      </c>
      <c r="O217">
        <v>1</v>
      </c>
    </row>
    <row r="218" spans="1:15" x14ac:dyDescent="0.2">
      <c r="A218" t="s">
        <v>479</v>
      </c>
      <c r="B218" t="s">
        <v>528</v>
      </c>
      <c r="C218" t="s">
        <v>224</v>
      </c>
      <c r="D218" t="s">
        <v>485</v>
      </c>
      <c r="E218" t="s">
        <v>110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 t="s">
        <v>783</v>
      </c>
      <c r="O218">
        <v>1</v>
      </c>
    </row>
    <row r="219" spans="1:15" x14ac:dyDescent="0.2">
      <c r="A219" t="s">
        <v>468</v>
      </c>
      <c r="B219" t="s">
        <v>295</v>
      </c>
      <c r="C219" t="s">
        <v>213</v>
      </c>
      <c r="D219" t="s">
        <v>784</v>
      </c>
      <c r="E219" t="s">
        <v>493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 t="s">
        <v>785</v>
      </c>
      <c r="O219">
        <v>1</v>
      </c>
    </row>
    <row r="220" spans="1:15" x14ac:dyDescent="0.2">
      <c r="A220" t="s">
        <v>526</v>
      </c>
      <c r="B220" t="s">
        <v>786</v>
      </c>
      <c r="C220" t="s">
        <v>224</v>
      </c>
      <c r="D220" t="s">
        <v>206</v>
      </c>
      <c r="E220" t="s">
        <v>178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 t="s">
        <v>787</v>
      </c>
      <c r="O220">
        <v>1</v>
      </c>
    </row>
    <row r="221" spans="1:15" x14ac:dyDescent="0.2">
      <c r="A221" t="s">
        <v>517</v>
      </c>
      <c r="B221" t="s">
        <v>742</v>
      </c>
      <c r="C221" t="s">
        <v>307</v>
      </c>
      <c r="D221" t="s">
        <v>536</v>
      </c>
      <c r="E221" t="s">
        <v>482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 t="s">
        <v>788</v>
      </c>
      <c r="O221">
        <v>1</v>
      </c>
    </row>
    <row r="222" spans="1:15" x14ac:dyDescent="0.2">
      <c r="A222" t="s">
        <v>488</v>
      </c>
      <c r="B222" t="s">
        <v>789</v>
      </c>
      <c r="C222" t="s">
        <v>224</v>
      </c>
      <c r="D222" t="s">
        <v>750</v>
      </c>
      <c r="E222" t="s">
        <v>133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1</v>
      </c>
      <c r="N222" t="s">
        <v>790</v>
      </c>
      <c r="O222">
        <v>1</v>
      </c>
    </row>
    <row r="223" spans="1:15" x14ac:dyDescent="0.2">
      <c r="A223" t="s">
        <v>578</v>
      </c>
      <c r="B223" t="s">
        <v>791</v>
      </c>
      <c r="C223" t="s">
        <v>224</v>
      </c>
      <c r="D223" t="s">
        <v>213</v>
      </c>
      <c r="E223" t="s">
        <v>255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1</v>
      </c>
      <c r="N223" t="s">
        <v>792</v>
      </c>
      <c r="O223">
        <v>1</v>
      </c>
    </row>
    <row r="224" spans="1:15" x14ac:dyDescent="0.2">
      <c r="A224" t="s">
        <v>578</v>
      </c>
      <c r="B224" t="s">
        <v>482</v>
      </c>
      <c r="C224" t="s">
        <v>224</v>
      </c>
      <c r="D224" t="s">
        <v>531</v>
      </c>
      <c r="E224" t="s">
        <v>231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0</v>
      </c>
      <c r="N224" t="s">
        <v>793</v>
      </c>
      <c r="O224">
        <v>1</v>
      </c>
    </row>
    <row r="225" spans="1:15" x14ac:dyDescent="0.2">
      <c r="A225" t="s">
        <v>468</v>
      </c>
      <c r="B225" t="s">
        <v>252</v>
      </c>
      <c r="C225" t="s">
        <v>484</v>
      </c>
      <c r="D225" t="s">
        <v>224</v>
      </c>
      <c r="E225" t="s">
        <v>239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1</v>
      </c>
      <c r="N225" t="s">
        <v>459</v>
      </c>
      <c r="O225">
        <v>1</v>
      </c>
    </row>
    <row r="226" spans="1:15" x14ac:dyDescent="0.2">
      <c r="A226" t="s">
        <v>582</v>
      </c>
      <c r="B226" t="s">
        <v>469</v>
      </c>
      <c r="C226" t="s">
        <v>224</v>
      </c>
      <c r="D226" t="s">
        <v>469</v>
      </c>
      <c r="E226" t="s">
        <v>178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 t="s">
        <v>794</v>
      </c>
      <c r="O226">
        <v>1</v>
      </c>
    </row>
    <row r="227" spans="1:15" x14ac:dyDescent="0.2">
      <c r="A227" t="s">
        <v>517</v>
      </c>
      <c r="B227" t="s">
        <v>115</v>
      </c>
      <c r="C227" t="s">
        <v>252</v>
      </c>
      <c r="D227" t="s">
        <v>484</v>
      </c>
      <c r="E227" t="s">
        <v>493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 t="s">
        <v>795</v>
      </c>
      <c r="O227">
        <v>1</v>
      </c>
    </row>
    <row r="228" spans="1:15" x14ac:dyDescent="0.2">
      <c r="A228" t="s">
        <v>458</v>
      </c>
      <c r="B228" t="s">
        <v>796</v>
      </c>
      <c r="C228" t="s">
        <v>115</v>
      </c>
      <c r="D228" t="s">
        <v>257</v>
      </c>
      <c r="E228" t="s">
        <v>92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 t="s">
        <v>797</v>
      </c>
      <c r="O228">
        <v>1</v>
      </c>
    </row>
    <row r="229" spans="1:15" x14ac:dyDescent="0.2">
      <c r="A229" t="s">
        <v>742</v>
      </c>
      <c r="B229" t="s">
        <v>151</v>
      </c>
      <c r="C229" t="s">
        <v>129</v>
      </c>
      <c r="D229" t="s">
        <v>115</v>
      </c>
      <c r="E229" t="s">
        <v>531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 t="s">
        <v>88</v>
      </c>
      <c r="O229">
        <v>1</v>
      </c>
    </row>
    <row r="230" spans="1:15" x14ac:dyDescent="0.2">
      <c r="A230" t="s">
        <v>511</v>
      </c>
      <c r="B230" t="s">
        <v>296</v>
      </c>
      <c r="C230" t="s">
        <v>231</v>
      </c>
      <c r="D230" t="s">
        <v>469</v>
      </c>
      <c r="E230" t="s">
        <v>541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1</v>
      </c>
      <c r="M230">
        <v>1</v>
      </c>
      <c r="N230" t="s">
        <v>798</v>
      </c>
      <c r="O230">
        <v>1</v>
      </c>
    </row>
    <row r="231" spans="1:15" x14ac:dyDescent="0.2">
      <c r="A231" t="s">
        <v>563</v>
      </c>
      <c r="B231" t="s">
        <v>526</v>
      </c>
      <c r="C231" t="s">
        <v>224</v>
      </c>
      <c r="D231" t="s">
        <v>582</v>
      </c>
      <c r="E231" t="s">
        <v>154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 t="s">
        <v>799</v>
      </c>
      <c r="O231">
        <v>1</v>
      </c>
    </row>
    <row r="232" spans="1:15" x14ac:dyDescent="0.2">
      <c r="A232" t="s">
        <v>458</v>
      </c>
      <c r="B232" t="s">
        <v>295</v>
      </c>
      <c r="C232" t="s">
        <v>307</v>
      </c>
      <c r="D232" t="s">
        <v>495</v>
      </c>
      <c r="E232" t="s">
        <v>133</v>
      </c>
      <c r="F232">
        <v>1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 t="s">
        <v>473</v>
      </c>
      <c r="O232">
        <v>1</v>
      </c>
    </row>
    <row r="233" spans="1:15" x14ac:dyDescent="0.2">
      <c r="A233" t="s">
        <v>502</v>
      </c>
      <c r="B233" t="s">
        <v>113</v>
      </c>
      <c r="C233" t="s">
        <v>151</v>
      </c>
      <c r="D233" t="s">
        <v>800</v>
      </c>
      <c r="E233" t="s">
        <v>92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 t="s">
        <v>141</v>
      </c>
      <c r="O233">
        <v>1</v>
      </c>
    </row>
    <row r="234" spans="1:15" x14ac:dyDescent="0.2">
      <c r="A234" t="s">
        <v>511</v>
      </c>
      <c r="B234" t="s">
        <v>166</v>
      </c>
      <c r="C234" t="s">
        <v>125</v>
      </c>
      <c r="D234" t="s">
        <v>582</v>
      </c>
      <c r="E234" t="s">
        <v>531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 t="s">
        <v>292</v>
      </c>
      <c r="O234">
        <v>1</v>
      </c>
    </row>
    <row r="235" spans="1:15" x14ac:dyDescent="0.2">
      <c r="A235" t="s">
        <v>742</v>
      </c>
      <c r="B235" t="s">
        <v>531</v>
      </c>
      <c r="C235" t="s">
        <v>151</v>
      </c>
      <c r="D235" t="s">
        <v>761</v>
      </c>
      <c r="E235" t="s">
        <v>493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1</v>
      </c>
      <c r="N235" t="s">
        <v>801</v>
      </c>
      <c r="O235">
        <v>1</v>
      </c>
    </row>
    <row r="236" spans="1:15" x14ac:dyDescent="0.2">
      <c r="A236" t="s">
        <v>477</v>
      </c>
      <c r="B236" t="s">
        <v>802</v>
      </c>
      <c r="C236" t="s">
        <v>115</v>
      </c>
      <c r="D236" t="s">
        <v>803</v>
      </c>
      <c r="E236" t="s">
        <v>110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0</v>
      </c>
      <c r="N236" t="s">
        <v>804</v>
      </c>
      <c r="O236">
        <v>1</v>
      </c>
    </row>
    <row r="237" spans="1:15" x14ac:dyDescent="0.2">
      <c r="A237" t="s">
        <v>458</v>
      </c>
      <c r="B237" t="s">
        <v>554</v>
      </c>
      <c r="C237" t="s">
        <v>252</v>
      </c>
      <c r="D237" t="s">
        <v>103</v>
      </c>
      <c r="E237" t="s">
        <v>255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1</v>
      </c>
      <c r="N237" t="s">
        <v>805</v>
      </c>
      <c r="O237">
        <v>1</v>
      </c>
    </row>
    <row r="238" spans="1:15" x14ac:dyDescent="0.2">
      <c r="A238" t="s">
        <v>530</v>
      </c>
      <c r="B238" t="s">
        <v>192</v>
      </c>
      <c r="C238" t="s">
        <v>252</v>
      </c>
      <c r="D238" t="s">
        <v>469</v>
      </c>
      <c r="E238" t="s">
        <v>460</v>
      </c>
      <c r="F238">
        <v>1</v>
      </c>
      <c r="G238">
        <v>0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 t="s">
        <v>806</v>
      </c>
      <c r="O238">
        <v>1</v>
      </c>
    </row>
    <row r="239" spans="1:15" x14ac:dyDescent="0.2">
      <c r="A239" t="s">
        <v>563</v>
      </c>
      <c r="B239" t="s">
        <v>483</v>
      </c>
      <c r="C239" t="s">
        <v>151</v>
      </c>
      <c r="D239" t="s">
        <v>607</v>
      </c>
      <c r="E239" t="s">
        <v>161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1</v>
      </c>
      <c r="N239" t="s">
        <v>807</v>
      </c>
      <c r="O239">
        <v>1</v>
      </c>
    </row>
    <row r="240" spans="1:15" x14ac:dyDescent="0.2">
      <c r="A240" t="s">
        <v>534</v>
      </c>
      <c r="B240" t="s">
        <v>745</v>
      </c>
      <c r="C240" t="s">
        <v>558</v>
      </c>
      <c r="D240" t="s">
        <v>224</v>
      </c>
      <c r="E240" t="s">
        <v>493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 t="s">
        <v>808</v>
      </c>
      <c r="O240">
        <v>1</v>
      </c>
    </row>
    <row r="241" spans="1:15" x14ac:dyDescent="0.2">
      <c r="A241" t="s">
        <v>742</v>
      </c>
      <c r="B241" t="s">
        <v>179</v>
      </c>
      <c r="C241" t="s">
        <v>252</v>
      </c>
      <c r="D241" t="s">
        <v>552</v>
      </c>
      <c r="E241" t="s">
        <v>133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1</v>
      </c>
      <c r="N241" t="s">
        <v>291</v>
      </c>
      <c r="O241">
        <v>1</v>
      </c>
    </row>
    <row r="242" spans="1:15" x14ac:dyDescent="0.2">
      <c r="A242" t="s">
        <v>563</v>
      </c>
      <c r="B242" t="s">
        <v>809</v>
      </c>
      <c r="C242" t="s">
        <v>213</v>
      </c>
      <c r="D242" t="s">
        <v>810</v>
      </c>
      <c r="E242" t="s">
        <v>536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  <c r="N242" t="s">
        <v>301</v>
      </c>
      <c r="O242">
        <v>1</v>
      </c>
    </row>
    <row r="243" spans="1:15" x14ac:dyDescent="0.2">
      <c r="A243" t="s">
        <v>742</v>
      </c>
      <c r="B243" t="s">
        <v>484</v>
      </c>
      <c r="C243" t="s">
        <v>528</v>
      </c>
      <c r="D243" t="s">
        <v>252</v>
      </c>
      <c r="E243" t="s">
        <v>511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0</v>
      </c>
      <c r="N243" t="s">
        <v>811</v>
      </c>
      <c r="O243">
        <v>1</v>
      </c>
    </row>
    <row r="244" spans="1:15" x14ac:dyDescent="0.2">
      <c r="A244" t="s">
        <v>495</v>
      </c>
      <c r="B244" t="s">
        <v>224</v>
      </c>
      <c r="C244" t="s">
        <v>125</v>
      </c>
      <c r="D244" t="s">
        <v>129</v>
      </c>
      <c r="E244" t="s">
        <v>239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  <c r="N244" t="s">
        <v>812</v>
      </c>
      <c r="O244">
        <v>1</v>
      </c>
    </row>
    <row r="245" spans="1:15" x14ac:dyDescent="0.2">
      <c r="A245" t="s">
        <v>466</v>
      </c>
      <c r="B245" t="s">
        <v>162</v>
      </c>
      <c r="C245" t="s">
        <v>224</v>
      </c>
      <c r="D245" t="s">
        <v>166</v>
      </c>
      <c r="E245" t="s">
        <v>255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1</v>
      </c>
      <c r="N245" t="s">
        <v>597</v>
      </c>
      <c r="O245">
        <v>1</v>
      </c>
    </row>
    <row r="246" spans="1:15" x14ac:dyDescent="0.2">
      <c r="A246" t="s">
        <v>458</v>
      </c>
      <c r="B246" t="s">
        <v>134</v>
      </c>
      <c r="C246" t="s">
        <v>151</v>
      </c>
      <c r="D246" t="s">
        <v>813</v>
      </c>
      <c r="E246" t="s">
        <v>531</v>
      </c>
      <c r="F246">
        <v>0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 t="s">
        <v>756</v>
      </c>
      <c r="O246">
        <v>1</v>
      </c>
    </row>
    <row r="247" spans="1:15" x14ac:dyDescent="0.2">
      <c r="A247" t="s">
        <v>582</v>
      </c>
      <c r="B247" t="s">
        <v>252</v>
      </c>
      <c r="C247" t="s">
        <v>252</v>
      </c>
      <c r="D247" t="s">
        <v>252</v>
      </c>
      <c r="E247" t="s">
        <v>531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 t="s">
        <v>814</v>
      </c>
      <c r="O247">
        <v>1</v>
      </c>
    </row>
    <row r="248" spans="1:15" x14ac:dyDescent="0.2">
      <c r="A248" t="s">
        <v>559</v>
      </c>
      <c r="B248" t="s">
        <v>815</v>
      </c>
      <c r="C248" t="s">
        <v>252</v>
      </c>
      <c r="D248" t="s">
        <v>224</v>
      </c>
      <c r="E248" t="s">
        <v>133</v>
      </c>
      <c r="F248">
        <v>0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 t="s">
        <v>793</v>
      </c>
      <c r="O248">
        <v>1</v>
      </c>
    </row>
    <row r="249" spans="1:15" x14ac:dyDescent="0.2">
      <c r="A249" t="s">
        <v>563</v>
      </c>
      <c r="B249" t="s">
        <v>469</v>
      </c>
      <c r="C249" t="s">
        <v>129</v>
      </c>
      <c r="D249" t="s">
        <v>484</v>
      </c>
      <c r="E249" t="s">
        <v>239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1</v>
      </c>
      <c r="N249" t="s">
        <v>816</v>
      </c>
      <c r="O249">
        <v>1</v>
      </c>
    </row>
    <row r="250" spans="1:15" x14ac:dyDescent="0.2">
      <c r="A250" t="s">
        <v>471</v>
      </c>
      <c r="B250" t="s">
        <v>817</v>
      </c>
      <c r="C250" t="s">
        <v>307</v>
      </c>
      <c r="D250" t="s">
        <v>745</v>
      </c>
      <c r="E250" t="s">
        <v>255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 t="s">
        <v>110</v>
      </c>
      <c r="O250">
        <v>1</v>
      </c>
    </row>
    <row r="251" spans="1:15" x14ac:dyDescent="0.2">
      <c r="A251" t="s">
        <v>517</v>
      </c>
      <c r="B251" t="s">
        <v>469</v>
      </c>
      <c r="C251" t="s">
        <v>296</v>
      </c>
      <c r="D251" t="s">
        <v>469</v>
      </c>
      <c r="E251" t="s">
        <v>154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 t="s">
        <v>818</v>
      </c>
      <c r="O251">
        <v>1</v>
      </c>
    </row>
    <row r="252" spans="1:15" x14ac:dyDescent="0.2">
      <c r="A252" t="s">
        <v>578</v>
      </c>
      <c r="B252" t="s">
        <v>819</v>
      </c>
      <c r="C252" t="s">
        <v>252</v>
      </c>
      <c r="D252" t="s">
        <v>92</v>
      </c>
      <c r="E252" t="s">
        <v>154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1</v>
      </c>
      <c r="N252" t="s">
        <v>820</v>
      </c>
      <c r="O252">
        <v>1</v>
      </c>
    </row>
    <row r="253" spans="1:15" x14ac:dyDescent="0.2">
      <c r="A253" t="s">
        <v>471</v>
      </c>
      <c r="B253" t="s">
        <v>821</v>
      </c>
      <c r="C253" t="s">
        <v>252</v>
      </c>
      <c r="D253" t="s">
        <v>216</v>
      </c>
      <c r="E253" t="s">
        <v>233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 t="s">
        <v>822</v>
      </c>
      <c r="O253">
        <v>1</v>
      </c>
    </row>
    <row r="254" spans="1:15" x14ac:dyDescent="0.2">
      <c r="A254" t="s">
        <v>495</v>
      </c>
      <c r="B254" t="s">
        <v>280</v>
      </c>
      <c r="C254" t="s">
        <v>252</v>
      </c>
      <c r="D254" t="s">
        <v>469</v>
      </c>
      <c r="E254" t="s">
        <v>92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 t="s">
        <v>823</v>
      </c>
      <c r="O254">
        <v>1</v>
      </c>
    </row>
    <row r="255" spans="1:15" x14ac:dyDescent="0.2">
      <c r="A255" t="s">
        <v>462</v>
      </c>
      <c r="B255" t="s">
        <v>229</v>
      </c>
      <c r="C255" t="s">
        <v>528</v>
      </c>
      <c r="D255" t="s">
        <v>473</v>
      </c>
      <c r="E255" t="s">
        <v>154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 t="s">
        <v>824</v>
      </c>
      <c r="O255">
        <v>1</v>
      </c>
    </row>
    <row r="256" spans="1:15" x14ac:dyDescent="0.2">
      <c r="A256" t="s">
        <v>602</v>
      </c>
      <c r="B256" t="s">
        <v>469</v>
      </c>
      <c r="C256" t="s">
        <v>106</v>
      </c>
      <c r="D256" t="s">
        <v>469</v>
      </c>
      <c r="E256" t="s">
        <v>133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1</v>
      </c>
      <c r="N256" t="s">
        <v>684</v>
      </c>
      <c r="O256">
        <v>1</v>
      </c>
    </row>
    <row r="257" spans="1:15" x14ac:dyDescent="0.2">
      <c r="A257" t="s">
        <v>582</v>
      </c>
      <c r="B257" t="s">
        <v>296</v>
      </c>
      <c r="C257" t="s">
        <v>484</v>
      </c>
      <c r="D257" t="s">
        <v>98</v>
      </c>
      <c r="E257" t="s">
        <v>154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1</v>
      </c>
      <c r="N257" t="s">
        <v>825</v>
      </c>
      <c r="O257">
        <v>1</v>
      </c>
    </row>
    <row r="258" spans="1:15" x14ac:dyDescent="0.2">
      <c r="A258" t="s">
        <v>541</v>
      </c>
      <c r="B258" t="s">
        <v>753</v>
      </c>
      <c r="C258" t="s">
        <v>252</v>
      </c>
      <c r="D258" t="s">
        <v>250</v>
      </c>
      <c r="E258" t="s">
        <v>154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1</v>
      </c>
      <c r="N258" t="s">
        <v>826</v>
      </c>
      <c r="O258">
        <v>1</v>
      </c>
    </row>
    <row r="259" spans="1:15" x14ac:dyDescent="0.2">
      <c r="A259" t="s">
        <v>502</v>
      </c>
      <c r="B259" t="s">
        <v>503</v>
      </c>
      <c r="C259" t="s">
        <v>224</v>
      </c>
      <c r="D259" t="s">
        <v>558</v>
      </c>
      <c r="E259" t="s">
        <v>154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1</v>
      </c>
      <c r="N259" t="s">
        <v>827</v>
      </c>
      <c r="O259">
        <v>1</v>
      </c>
    </row>
    <row r="260" spans="1:15" x14ac:dyDescent="0.2">
      <c r="A260" t="s">
        <v>488</v>
      </c>
      <c r="B260" t="s">
        <v>789</v>
      </c>
      <c r="C260" t="s">
        <v>484</v>
      </c>
      <c r="D260" t="s">
        <v>828</v>
      </c>
      <c r="E260" t="s">
        <v>255</v>
      </c>
      <c r="F260">
        <v>1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1</v>
      </c>
      <c r="N260" t="s">
        <v>829</v>
      </c>
      <c r="O260">
        <v>1</v>
      </c>
    </row>
    <row r="261" spans="1:15" x14ac:dyDescent="0.2">
      <c r="A261" t="s">
        <v>460</v>
      </c>
      <c r="B261" t="s">
        <v>558</v>
      </c>
      <c r="C261" t="s">
        <v>129</v>
      </c>
      <c r="D261" t="s">
        <v>154</v>
      </c>
      <c r="E261" t="s">
        <v>231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 t="s">
        <v>830</v>
      </c>
      <c r="O261">
        <v>1</v>
      </c>
    </row>
    <row r="262" spans="1:15" x14ac:dyDescent="0.2">
      <c r="A262" t="s">
        <v>517</v>
      </c>
      <c r="B262" t="s">
        <v>541</v>
      </c>
      <c r="C262" t="s">
        <v>92</v>
      </c>
      <c r="D262" t="s">
        <v>558</v>
      </c>
      <c r="E262" t="s">
        <v>493</v>
      </c>
      <c r="F262">
        <v>0</v>
      </c>
      <c r="G262">
        <v>1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1</v>
      </c>
      <c r="N262" t="s">
        <v>831</v>
      </c>
      <c r="O262">
        <v>1</v>
      </c>
    </row>
    <row r="263" spans="1:15" x14ac:dyDescent="0.2">
      <c r="A263" t="s">
        <v>473</v>
      </c>
      <c r="B263" t="s">
        <v>192</v>
      </c>
      <c r="C263" t="s">
        <v>151</v>
      </c>
      <c r="D263" t="s">
        <v>98</v>
      </c>
      <c r="E263" t="s">
        <v>231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1</v>
      </c>
      <c r="N263" t="s">
        <v>210</v>
      </c>
      <c r="O263">
        <v>1</v>
      </c>
    </row>
    <row r="264" spans="1:15" x14ac:dyDescent="0.2">
      <c r="A264" t="s">
        <v>607</v>
      </c>
      <c r="B264" t="s">
        <v>233</v>
      </c>
      <c r="C264" t="s">
        <v>307</v>
      </c>
      <c r="D264" t="s">
        <v>477</v>
      </c>
      <c r="E264" t="s">
        <v>482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0</v>
      </c>
      <c r="N264" t="s">
        <v>832</v>
      </c>
      <c r="O264">
        <v>1</v>
      </c>
    </row>
    <row r="265" spans="1:15" x14ac:dyDescent="0.2">
      <c r="A265" t="s">
        <v>530</v>
      </c>
      <c r="B265" t="s">
        <v>502</v>
      </c>
      <c r="C265" t="s">
        <v>224</v>
      </c>
      <c r="D265" t="s">
        <v>258</v>
      </c>
      <c r="E265" t="s">
        <v>536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0</v>
      </c>
      <c r="N265" t="s">
        <v>833</v>
      </c>
      <c r="O265">
        <v>1</v>
      </c>
    </row>
    <row r="266" spans="1:15" x14ac:dyDescent="0.2">
      <c r="A266" t="s">
        <v>483</v>
      </c>
      <c r="B266" t="s">
        <v>460</v>
      </c>
      <c r="C266" t="s">
        <v>125</v>
      </c>
      <c r="D266" t="s">
        <v>110</v>
      </c>
      <c r="E266" t="s">
        <v>193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1</v>
      </c>
      <c r="M266">
        <v>1</v>
      </c>
      <c r="N266" t="s">
        <v>219</v>
      </c>
      <c r="O266">
        <v>1</v>
      </c>
    </row>
    <row r="267" spans="1:15" x14ac:dyDescent="0.2">
      <c r="A267" t="s">
        <v>462</v>
      </c>
      <c r="B267" t="s">
        <v>255</v>
      </c>
      <c r="C267" t="s">
        <v>239</v>
      </c>
      <c r="D267" t="s">
        <v>106</v>
      </c>
      <c r="E267" t="s">
        <v>460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834</v>
      </c>
      <c r="O267">
        <v>1</v>
      </c>
    </row>
    <row r="268" spans="1:15" x14ac:dyDescent="0.2">
      <c r="A268" t="s">
        <v>479</v>
      </c>
      <c r="B268" t="s">
        <v>835</v>
      </c>
      <c r="C268" t="s">
        <v>252</v>
      </c>
      <c r="D268" t="s">
        <v>107</v>
      </c>
      <c r="E268" t="s">
        <v>106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 t="s">
        <v>836</v>
      </c>
      <c r="O268">
        <v>1</v>
      </c>
    </row>
    <row r="269" spans="1:15" x14ac:dyDescent="0.2">
      <c r="A269" t="s">
        <v>462</v>
      </c>
      <c r="B269" t="s">
        <v>558</v>
      </c>
      <c r="C269" t="s">
        <v>252</v>
      </c>
      <c r="D269" t="s">
        <v>484</v>
      </c>
      <c r="E269" t="s">
        <v>255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1</v>
      </c>
      <c r="N269" t="s">
        <v>837</v>
      </c>
      <c r="O269">
        <v>1</v>
      </c>
    </row>
    <row r="270" spans="1:15" x14ac:dyDescent="0.2">
      <c r="A270" t="s">
        <v>502</v>
      </c>
      <c r="B270" t="s">
        <v>115</v>
      </c>
      <c r="C270" t="s">
        <v>193</v>
      </c>
      <c r="D270" t="s">
        <v>307</v>
      </c>
      <c r="E270" t="s">
        <v>607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 t="s">
        <v>838</v>
      </c>
      <c r="O270">
        <v>1</v>
      </c>
    </row>
    <row r="271" spans="1:15" x14ac:dyDescent="0.2">
      <c r="A271" t="s">
        <v>471</v>
      </c>
      <c r="B271" t="s">
        <v>120</v>
      </c>
      <c r="C271" t="s">
        <v>115</v>
      </c>
      <c r="D271" t="s">
        <v>839</v>
      </c>
      <c r="E271" t="s">
        <v>125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 t="s">
        <v>840</v>
      </c>
      <c r="O271">
        <v>1</v>
      </c>
    </row>
    <row r="272" spans="1:15" x14ac:dyDescent="0.2">
      <c r="A272" t="s">
        <v>523</v>
      </c>
      <c r="B272" t="s">
        <v>469</v>
      </c>
      <c r="C272" t="s">
        <v>213</v>
      </c>
      <c r="D272" t="s">
        <v>307</v>
      </c>
      <c r="E272" t="s">
        <v>482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 t="s">
        <v>634</v>
      </c>
      <c r="O272">
        <v>1</v>
      </c>
    </row>
    <row r="273" spans="1:15" x14ac:dyDescent="0.2">
      <c r="A273" t="s">
        <v>511</v>
      </c>
      <c r="B273" t="s">
        <v>554</v>
      </c>
      <c r="C273" t="s">
        <v>115</v>
      </c>
      <c r="D273" t="s">
        <v>602</v>
      </c>
      <c r="E273" t="s">
        <v>133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1</v>
      </c>
      <c r="N273" t="s">
        <v>791</v>
      </c>
      <c r="O273">
        <v>1</v>
      </c>
    </row>
    <row r="274" spans="1:15" x14ac:dyDescent="0.2">
      <c r="A274" t="s">
        <v>482</v>
      </c>
      <c r="B274" t="s">
        <v>151</v>
      </c>
      <c r="C274" t="s">
        <v>252</v>
      </c>
      <c r="D274" t="s">
        <v>252</v>
      </c>
      <c r="E274" t="s">
        <v>110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0</v>
      </c>
      <c r="N274" t="s">
        <v>161</v>
      </c>
      <c r="O274">
        <v>1</v>
      </c>
    </row>
    <row r="275" spans="1:15" x14ac:dyDescent="0.2">
      <c r="A275" t="s">
        <v>492</v>
      </c>
      <c r="B275" t="s">
        <v>536</v>
      </c>
      <c r="C275" t="s">
        <v>193</v>
      </c>
      <c r="D275" t="s">
        <v>841</v>
      </c>
      <c r="E275" t="s">
        <v>233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 t="s">
        <v>842</v>
      </c>
      <c r="O275">
        <v>1</v>
      </c>
    </row>
    <row r="276" spans="1:15" x14ac:dyDescent="0.2">
      <c r="A276" t="s">
        <v>541</v>
      </c>
      <c r="B276" t="s">
        <v>469</v>
      </c>
      <c r="C276" t="s">
        <v>151</v>
      </c>
      <c r="D276" t="s">
        <v>110</v>
      </c>
      <c r="E276" t="s">
        <v>493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1</v>
      </c>
      <c r="N276" t="s">
        <v>843</v>
      </c>
      <c r="O276">
        <v>1</v>
      </c>
    </row>
    <row r="277" spans="1:15" x14ac:dyDescent="0.2">
      <c r="A277" t="s">
        <v>530</v>
      </c>
      <c r="B277" t="s">
        <v>217</v>
      </c>
      <c r="C277" t="s">
        <v>110</v>
      </c>
      <c r="D277" t="s">
        <v>483</v>
      </c>
      <c r="E277" t="s">
        <v>602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0</v>
      </c>
      <c r="N277" t="s">
        <v>844</v>
      </c>
      <c r="O277">
        <v>1</v>
      </c>
    </row>
    <row r="278" spans="1:15" x14ac:dyDescent="0.2">
      <c r="A278" t="s">
        <v>563</v>
      </c>
      <c r="B278" t="s">
        <v>151</v>
      </c>
      <c r="C278" t="s">
        <v>252</v>
      </c>
      <c r="D278" t="s">
        <v>224</v>
      </c>
      <c r="E278" t="s">
        <v>133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 t="s">
        <v>653</v>
      </c>
      <c r="O278">
        <v>1</v>
      </c>
    </row>
    <row r="279" spans="1:15" x14ac:dyDescent="0.2">
      <c r="A279" t="s">
        <v>607</v>
      </c>
      <c r="B279" t="s">
        <v>526</v>
      </c>
      <c r="C279" t="s">
        <v>252</v>
      </c>
      <c r="D279" t="s">
        <v>595</v>
      </c>
      <c r="E279" t="s">
        <v>106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1</v>
      </c>
      <c r="N279" t="s">
        <v>845</v>
      </c>
      <c r="O279">
        <v>1</v>
      </c>
    </row>
    <row r="280" spans="1:15" x14ac:dyDescent="0.2">
      <c r="A280" t="s">
        <v>477</v>
      </c>
      <c r="B280" t="s">
        <v>846</v>
      </c>
      <c r="C280" t="s">
        <v>224</v>
      </c>
      <c r="D280" t="s">
        <v>847</v>
      </c>
      <c r="E280" t="s">
        <v>133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1</v>
      </c>
      <c r="N280" t="s">
        <v>848</v>
      </c>
      <c r="O280">
        <v>1</v>
      </c>
    </row>
    <row r="281" spans="1:15" x14ac:dyDescent="0.2">
      <c r="A281" t="s">
        <v>559</v>
      </c>
      <c r="B281" t="s">
        <v>469</v>
      </c>
      <c r="C281" t="s">
        <v>129</v>
      </c>
      <c r="D281" t="s">
        <v>469</v>
      </c>
      <c r="E281" t="s">
        <v>460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0</v>
      </c>
      <c r="N281" t="s">
        <v>849</v>
      </c>
      <c r="O281">
        <v>1</v>
      </c>
    </row>
    <row r="282" spans="1:15" x14ac:dyDescent="0.2">
      <c r="A282" t="s">
        <v>578</v>
      </c>
      <c r="B282" t="s">
        <v>517</v>
      </c>
      <c r="C282" t="s">
        <v>161</v>
      </c>
      <c r="D282" t="s">
        <v>468</v>
      </c>
      <c r="E282" t="s">
        <v>552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1</v>
      </c>
      <c r="N282" t="s">
        <v>850</v>
      </c>
      <c r="O282">
        <v>1</v>
      </c>
    </row>
    <row r="283" spans="1:15" x14ac:dyDescent="0.2">
      <c r="A283" t="s">
        <v>502</v>
      </c>
      <c r="B283" t="s">
        <v>133</v>
      </c>
      <c r="C283" t="s">
        <v>307</v>
      </c>
      <c r="D283" t="s">
        <v>133</v>
      </c>
      <c r="E283" t="s">
        <v>602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1</v>
      </c>
      <c r="M283">
        <v>1</v>
      </c>
      <c r="N283" t="s">
        <v>680</v>
      </c>
      <c r="O283">
        <v>1</v>
      </c>
    </row>
    <row r="284" spans="1:15" x14ac:dyDescent="0.2">
      <c r="A284" t="s">
        <v>466</v>
      </c>
      <c r="B284" t="s">
        <v>216</v>
      </c>
      <c r="C284" t="s">
        <v>252</v>
      </c>
      <c r="D284" t="s">
        <v>802</v>
      </c>
      <c r="E284" t="s">
        <v>193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 t="s">
        <v>823</v>
      </c>
      <c r="O284">
        <v>1</v>
      </c>
    </row>
    <row r="285" spans="1:15" x14ac:dyDescent="0.2">
      <c r="A285" t="s">
        <v>462</v>
      </c>
      <c r="B285" t="s">
        <v>851</v>
      </c>
      <c r="C285" t="s">
        <v>115</v>
      </c>
      <c r="D285" t="s">
        <v>594</v>
      </c>
      <c r="E285" t="s">
        <v>250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 t="s">
        <v>297</v>
      </c>
      <c r="O285">
        <v>1</v>
      </c>
    </row>
    <row r="286" spans="1:15" x14ac:dyDescent="0.2">
      <c r="A286" t="s">
        <v>530</v>
      </c>
      <c r="B286" t="s">
        <v>110</v>
      </c>
      <c r="C286" t="s">
        <v>224</v>
      </c>
      <c r="D286" t="s">
        <v>188</v>
      </c>
      <c r="E286" t="s">
        <v>106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0</v>
      </c>
      <c r="N286" t="s">
        <v>852</v>
      </c>
      <c r="O286">
        <v>1</v>
      </c>
    </row>
    <row r="287" spans="1:15" x14ac:dyDescent="0.2">
      <c r="A287" t="s">
        <v>495</v>
      </c>
      <c r="B287" t="s">
        <v>110</v>
      </c>
      <c r="C287" t="s">
        <v>252</v>
      </c>
      <c r="D287" t="s">
        <v>492</v>
      </c>
      <c r="E287" t="s">
        <v>110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 t="s">
        <v>853</v>
      </c>
      <c r="O287">
        <v>1</v>
      </c>
    </row>
    <row r="288" spans="1:15" x14ac:dyDescent="0.2">
      <c r="A288" t="s">
        <v>854</v>
      </c>
      <c r="B288" t="s">
        <v>855</v>
      </c>
      <c r="C288" t="s">
        <v>512</v>
      </c>
      <c r="D288" t="s">
        <v>224</v>
      </c>
      <c r="E288" t="s">
        <v>499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1</v>
      </c>
      <c r="N288" t="s">
        <v>245</v>
      </c>
      <c r="O288">
        <v>1</v>
      </c>
    </row>
    <row r="289" spans="1:15" x14ac:dyDescent="0.2">
      <c r="A289" t="s">
        <v>471</v>
      </c>
      <c r="B289" t="s">
        <v>81</v>
      </c>
      <c r="C289" t="s">
        <v>252</v>
      </c>
      <c r="D289" t="s">
        <v>81</v>
      </c>
      <c r="E289" t="s">
        <v>133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 t="s">
        <v>468</v>
      </c>
      <c r="O289">
        <v>1</v>
      </c>
    </row>
    <row r="290" spans="1:15" x14ac:dyDescent="0.2">
      <c r="A290" t="s">
        <v>541</v>
      </c>
      <c r="B290" t="s">
        <v>530</v>
      </c>
      <c r="C290" t="s">
        <v>296</v>
      </c>
      <c r="D290" t="s">
        <v>255</v>
      </c>
      <c r="E290" t="s">
        <v>482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1</v>
      </c>
      <c r="N290" t="s">
        <v>107</v>
      </c>
      <c r="O290">
        <v>1</v>
      </c>
    </row>
    <row r="291" spans="1:15" x14ac:dyDescent="0.2">
      <c r="A291" t="s">
        <v>477</v>
      </c>
      <c r="B291" t="s">
        <v>274</v>
      </c>
      <c r="C291" t="s">
        <v>558</v>
      </c>
      <c r="D291" t="s">
        <v>574</v>
      </c>
      <c r="E291" t="s">
        <v>534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 t="s">
        <v>856</v>
      </c>
      <c r="O291">
        <v>1</v>
      </c>
    </row>
    <row r="292" spans="1:15" x14ac:dyDescent="0.2">
      <c r="A292" t="s">
        <v>512</v>
      </c>
      <c r="B292" t="s">
        <v>103</v>
      </c>
      <c r="C292" t="s">
        <v>252</v>
      </c>
      <c r="D292" t="s">
        <v>745</v>
      </c>
      <c r="E292" t="s">
        <v>512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1</v>
      </c>
      <c r="L292">
        <v>0</v>
      </c>
      <c r="M292">
        <v>1</v>
      </c>
      <c r="N292" t="s">
        <v>857</v>
      </c>
      <c r="O292">
        <v>1</v>
      </c>
    </row>
    <row r="293" spans="1:15" x14ac:dyDescent="0.2">
      <c r="A293" t="s">
        <v>458</v>
      </c>
      <c r="B293" t="s">
        <v>190</v>
      </c>
      <c r="C293" t="s">
        <v>224</v>
      </c>
      <c r="D293" t="s">
        <v>134</v>
      </c>
      <c r="E293" t="s">
        <v>231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 t="s">
        <v>858</v>
      </c>
      <c r="O293">
        <v>1</v>
      </c>
    </row>
    <row r="294" spans="1:15" x14ac:dyDescent="0.2">
      <c r="A294" t="s">
        <v>563</v>
      </c>
      <c r="B294" t="s">
        <v>129</v>
      </c>
      <c r="C294" t="s">
        <v>252</v>
      </c>
      <c r="D294" t="s">
        <v>252</v>
      </c>
      <c r="E294" t="s">
        <v>125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 t="s">
        <v>859</v>
      </c>
      <c r="O294">
        <v>1</v>
      </c>
    </row>
    <row r="295" spans="1:15" x14ac:dyDescent="0.2">
      <c r="A295" t="s">
        <v>526</v>
      </c>
      <c r="B295" t="s">
        <v>485</v>
      </c>
      <c r="C295" t="s">
        <v>106</v>
      </c>
      <c r="D295" t="s">
        <v>120</v>
      </c>
      <c r="E295" t="s">
        <v>154</v>
      </c>
      <c r="F295">
        <v>1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1</v>
      </c>
      <c r="N295" t="s">
        <v>860</v>
      </c>
      <c r="O295">
        <v>1</v>
      </c>
    </row>
    <row r="296" spans="1:15" x14ac:dyDescent="0.2">
      <c r="A296" t="s">
        <v>578</v>
      </c>
      <c r="B296" t="s">
        <v>552</v>
      </c>
      <c r="C296" t="s">
        <v>526</v>
      </c>
      <c r="D296" t="s">
        <v>536</v>
      </c>
      <c r="E296" t="s">
        <v>607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 t="s">
        <v>861</v>
      </c>
      <c r="O296">
        <v>1</v>
      </c>
    </row>
    <row r="297" spans="1:15" x14ac:dyDescent="0.2">
      <c r="A297" t="s">
        <v>552</v>
      </c>
      <c r="B297" t="s">
        <v>862</v>
      </c>
      <c r="C297" t="s">
        <v>484</v>
      </c>
      <c r="D297" t="s">
        <v>737</v>
      </c>
      <c r="E297" t="s">
        <v>578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 t="s">
        <v>863</v>
      </c>
      <c r="O297">
        <v>1</v>
      </c>
    </row>
    <row r="298" spans="1:15" x14ac:dyDescent="0.2">
      <c r="A298" t="s">
        <v>517</v>
      </c>
      <c r="B298" t="s">
        <v>173</v>
      </c>
      <c r="C298" t="s">
        <v>129</v>
      </c>
      <c r="D298" t="s">
        <v>632</v>
      </c>
      <c r="E298" t="s">
        <v>500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 t="s">
        <v>864</v>
      </c>
      <c r="O298">
        <v>1</v>
      </c>
    </row>
    <row r="299" spans="1:15" x14ac:dyDescent="0.2">
      <c r="A299" t="s">
        <v>582</v>
      </c>
      <c r="B299" t="s">
        <v>469</v>
      </c>
      <c r="C299" t="s">
        <v>252</v>
      </c>
      <c r="D299" t="s">
        <v>250</v>
      </c>
      <c r="E299" t="s">
        <v>493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1</v>
      </c>
      <c r="N299" t="s">
        <v>865</v>
      </c>
      <c r="O299">
        <v>1</v>
      </c>
    </row>
    <row r="300" spans="1:15" x14ac:dyDescent="0.2">
      <c r="A300" t="s">
        <v>536</v>
      </c>
      <c r="B300" t="s">
        <v>469</v>
      </c>
      <c r="C300" t="s">
        <v>307</v>
      </c>
      <c r="D300" t="s">
        <v>178</v>
      </c>
      <c r="E300" t="s">
        <v>178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1</v>
      </c>
      <c r="N300" t="s">
        <v>866</v>
      </c>
      <c r="O300">
        <v>1</v>
      </c>
    </row>
    <row r="301" spans="1:15" x14ac:dyDescent="0.2">
      <c r="A301" t="s">
        <v>530</v>
      </c>
      <c r="B301" t="s">
        <v>482</v>
      </c>
      <c r="C301" t="s">
        <v>224</v>
      </c>
      <c r="D301" t="s">
        <v>469</v>
      </c>
      <c r="E301" t="s">
        <v>125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 t="s">
        <v>867</v>
      </c>
      <c r="O301">
        <v>1</v>
      </c>
    </row>
    <row r="302" spans="1:15" x14ac:dyDescent="0.2">
      <c r="A302" t="s">
        <v>502</v>
      </c>
      <c r="B302" t="s">
        <v>255</v>
      </c>
      <c r="C302" t="s">
        <v>151</v>
      </c>
      <c r="D302" t="s">
        <v>295</v>
      </c>
      <c r="E302" t="s">
        <v>531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0</v>
      </c>
      <c r="N302" t="s">
        <v>868</v>
      </c>
      <c r="O302">
        <v>1</v>
      </c>
    </row>
    <row r="303" spans="1:15" x14ac:dyDescent="0.2">
      <c r="A303" t="s">
        <v>514</v>
      </c>
      <c r="B303" t="s">
        <v>514</v>
      </c>
      <c r="C303" t="s">
        <v>252</v>
      </c>
      <c r="D303" t="s">
        <v>860</v>
      </c>
      <c r="E303" t="s">
        <v>511</v>
      </c>
      <c r="F303">
        <v>1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 t="s">
        <v>541</v>
      </c>
      <c r="O303">
        <v>1</v>
      </c>
    </row>
    <row r="304" spans="1:15" x14ac:dyDescent="0.2">
      <c r="A304" t="s">
        <v>536</v>
      </c>
      <c r="B304" t="s">
        <v>492</v>
      </c>
      <c r="C304" t="s">
        <v>224</v>
      </c>
      <c r="D304" t="s">
        <v>462</v>
      </c>
      <c r="E304" t="s">
        <v>133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 t="s">
        <v>869</v>
      </c>
      <c r="O304">
        <v>1</v>
      </c>
    </row>
    <row r="305" spans="1:15" x14ac:dyDescent="0.2">
      <c r="A305" t="s">
        <v>530</v>
      </c>
      <c r="B305" t="s">
        <v>512</v>
      </c>
      <c r="C305" t="s">
        <v>252</v>
      </c>
      <c r="D305" t="s">
        <v>234</v>
      </c>
      <c r="E305" t="s">
        <v>193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1</v>
      </c>
      <c r="M305">
        <v>0</v>
      </c>
      <c r="N305" t="s">
        <v>870</v>
      </c>
      <c r="O305">
        <v>1</v>
      </c>
    </row>
    <row r="306" spans="1:15" x14ac:dyDescent="0.2">
      <c r="A306" t="s">
        <v>492</v>
      </c>
      <c r="B306" t="s">
        <v>648</v>
      </c>
      <c r="C306" t="s">
        <v>252</v>
      </c>
      <c r="D306" t="s">
        <v>618</v>
      </c>
      <c r="E306" t="s">
        <v>231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 t="s">
        <v>871</v>
      </c>
      <c r="O306">
        <v>1</v>
      </c>
    </row>
    <row r="307" spans="1:15" x14ac:dyDescent="0.2">
      <c r="A307" t="s">
        <v>519</v>
      </c>
      <c r="B307" t="s">
        <v>133</v>
      </c>
      <c r="C307" t="s">
        <v>224</v>
      </c>
      <c r="D307" t="s">
        <v>872</v>
      </c>
      <c r="E307" t="s">
        <v>503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0</v>
      </c>
      <c r="N307" t="s">
        <v>858</v>
      </c>
      <c r="O307">
        <v>1</v>
      </c>
    </row>
    <row r="308" spans="1:15" x14ac:dyDescent="0.2">
      <c r="A308" t="s">
        <v>536</v>
      </c>
      <c r="B308" t="s">
        <v>239</v>
      </c>
      <c r="C308" t="s">
        <v>307</v>
      </c>
      <c r="D308" t="s">
        <v>133</v>
      </c>
      <c r="E308" t="s">
        <v>482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1</v>
      </c>
      <c r="N308" t="s">
        <v>264</v>
      </c>
      <c r="O308">
        <v>1</v>
      </c>
    </row>
    <row r="309" spans="1:15" x14ac:dyDescent="0.2">
      <c r="A309" t="s">
        <v>257</v>
      </c>
      <c r="B309" t="s">
        <v>563</v>
      </c>
      <c r="C309" t="s">
        <v>233</v>
      </c>
      <c r="D309" t="s">
        <v>469</v>
      </c>
      <c r="E309" t="s">
        <v>742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1</v>
      </c>
      <c r="N309" t="s">
        <v>873</v>
      </c>
      <c r="O309">
        <v>1</v>
      </c>
    </row>
    <row r="310" spans="1:15" x14ac:dyDescent="0.2">
      <c r="A310" t="s">
        <v>477</v>
      </c>
      <c r="B310" t="s">
        <v>224</v>
      </c>
      <c r="C310" t="s">
        <v>484</v>
      </c>
      <c r="D310" t="s">
        <v>151</v>
      </c>
      <c r="E310" t="s">
        <v>255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 t="s">
        <v>477</v>
      </c>
      <c r="O310">
        <v>1</v>
      </c>
    </row>
    <row r="311" spans="1:15" x14ac:dyDescent="0.2">
      <c r="A311" t="s">
        <v>471</v>
      </c>
      <c r="B311" t="s">
        <v>484</v>
      </c>
      <c r="C311" t="s">
        <v>125</v>
      </c>
      <c r="D311" t="s">
        <v>469</v>
      </c>
      <c r="E311" t="s">
        <v>255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1</v>
      </c>
      <c r="N311" t="s">
        <v>874</v>
      </c>
      <c r="O311">
        <v>1</v>
      </c>
    </row>
    <row r="312" spans="1:15" x14ac:dyDescent="0.2">
      <c r="A312" t="s">
        <v>466</v>
      </c>
      <c r="B312" t="s">
        <v>253</v>
      </c>
      <c r="C312" t="s">
        <v>129</v>
      </c>
      <c r="D312" t="s">
        <v>608</v>
      </c>
      <c r="E312" t="s">
        <v>92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 t="s">
        <v>875</v>
      </c>
      <c r="O312">
        <v>1</v>
      </c>
    </row>
    <row r="313" spans="1:15" x14ac:dyDescent="0.2">
      <c r="A313" t="s">
        <v>541</v>
      </c>
      <c r="B313" t="s">
        <v>460</v>
      </c>
      <c r="C313" t="s">
        <v>484</v>
      </c>
      <c r="D313" t="s">
        <v>460</v>
      </c>
      <c r="E313" t="s">
        <v>233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1</v>
      </c>
      <c r="N313" t="s">
        <v>876</v>
      </c>
      <c r="O313">
        <v>1</v>
      </c>
    </row>
    <row r="314" spans="1:15" x14ac:dyDescent="0.2">
      <c r="A314" t="s">
        <v>473</v>
      </c>
      <c r="B314" t="s">
        <v>877</v>
      </c>
      <c r="C314" t="s">
        <v>503</v>
      </c>
      <c r="D314" t="s">
        <v>878</v>
      </c>
      <c r="E314" t="s">
        <v>466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 t="s">
        <v>879</v>
      </c>
      <c r="O314">
        <v>1</v>
      </c>
    </row>
    <row r="315" spans="1:15" x14ac:dyDescent="0.2">
      <c r="A315" t="s">
        <v>514</v>
      </c>
      <c r="B315" t="s">
        <v>252</v>
      </c>
      <c r="C315" t="s">
        <v>558</v>
      </c>
      <c r="D315" t="s">
        <v>528</v>
      </c>
      <c r="E315" t="s">
        <v>257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1</v>
      </c>
      <c r="N315" t="s">
        <v>134</v>
      </c>
      <c r="O315">
        <v>1</v>
      </c>
    </row>
    <row r="316" spans="1:15" x14ac:dyDescent="0.2">
      <c r="A316" t="s">
        <v>559</v>
      </c>
      <c r="B316" t="s">
        <v>224</v>
      </c>
      <c r="C316" t="s">
        <v>503</v>
      </c>
      <c r="D316" t="s">
        <v>151</v>
      </c>
      <c r="E316" t="s">
        <v>106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1</v>
      </c>
      <c r="N316" t="s">
        <v>797</v>
      </c>
      <c r="O316">
        <v>1</v>
      </c>
    </row>
    <row r="317" spans="1:15" x14ac:dyDescent="0.2">
      <c r="A317" t="s">
        <v>602</v>
      </c>
      <c r="B317" t="s">
        <v>880</v>
      </c>
      <c r="C317" t="s">
        <v>129</v>
      </c>
      <c r="D317" t="s">
        <v>104</v>
      </c>
      <c r="E317" t="s">
        <v>193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0</v>
      </c>
      <c r="N317" t="s">
        <v>881</v>
      </c>
      <c r="O317">
        <v>1</v>
      </c>
    </row>
    <row r="318" spans="1:15" x14ac:dyDescent="0.2">
      <c r="A318" t="s">
        <v>479</v>
      </c>
      <c r="B318" t="s">
        <v>528</v>
      </c>
      <c r="C318" t="s">
        <v>528</v>
      </c>
      <c r="D318" t="s">
        <v>244</v>
      </c>
      <c r="E318" t="s">
        <v>193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N318" t="s">
        <v>498</v>
      </c>
      <c r="O318">
        <v>1</v>
      </c>
    </row>
    <row r="319" spans="1:15" x14ac:dyDescent="0.2">
      <c r="A319" t="s">
        <v>559</v>
      </c>
      <c r="B319" t="s">
        <v>469</v>
      </c>
      <c r="C319" t="s">
        <v>252</v>
      </c>
      <c r="D319" t="s">
        <v>179</v>
      </c>
      <c r="E319" t="s">
        <v>484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 t="s">
        <v>882</v>
      </c>
      <c r="O319">
        <v>1</v>
      </c>
    </row>
    <row r="320" spans="1:15" x14ac:dyDescent="0.2">
      <c r="A320" t="s">
        <v>253</v>
      </c>
      <c r="B320" t="s">
        <v>883</v>
      </c>
      <c r="C320" t="s">
        <v>151</v>
      </c>
      <c r="D320" t="s">
        <v>499</v>
      </c>
      <c r="E320" t="s">
        <v>154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1</v>
      </c>
      <c r="N320" t="s">
        <v>884</v>
      </c>
      <c r="O320">
        <v>1</v>
      </c>
    </row>
    <row r="321" spans="1:15" x14ac:dyDescent="0.2">
      <c r="A321" t="s">
        <v>607</v>
      </c>
      <c r="B321" t="s">
        <v>885</v>
      </c>
      <c r="C321" t="s">
        <v>129</v>
      </c>
      <c r="D321" t="s">
        <v>221</v>
      </c>
      <c r="E321" t="s">
        <v>154</v>
      </c>
      <c r="F321">
        <v>0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 t="s">
        <v>886</v>
      </c>
      <c r="O321">
        <v>1</v>
      </c>
    </row>
    <row r="322" spans="1:15" x14ac:dyDescent="0.2">
      <c r="A322" t="s">
        <v>552</v>
      </c>
      <c r="B322" t="s">
        <v>221</v>
      </c>
      <c r="C322" t="s">
        <v>503</v>
      </c>
      <c r="D322" t="s">
        <v>492</v>
      </c>
      <c r="E322" t="s">
        <v>255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  <c r="N322" t="s">
        <v>840</v>
      </c>
      <c r="O322">
        <v>1</v>
      </c>
    </row>
    <row r="323" spans="1:15" x14ac:dyDescent="0.2">
      <c r="A323" t="s">
        <v>458</v>
      </c>
      <c r="B323" t="s">
        <v>469</v>
      </c>
      <c r="C323" t="s">
        <v>224</v>
      </c>
      <c r="D323" t="s">
        <v>469</v>
      </c>
      <c r="E323" t="s">
        <v>110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 t="s">
        <v>887</v>
      </c>
      <c r="O323">
        <v>1</v>
      </c>
    </row>
    <row r="324" spans="1:15" x14ac:dyDescent="0.2">
      <c r="A324" t="s">
        <v>552</v>
      </c>
      <c r="B324" t="s">
        <v>279</v>
      </c>
      <c r="C324" t="s">
        <v>252</v>
      </c>
      <c r="D324" t="s">
        <v>555</v>
      </c>
      <c r="E324" t="s">
        <v>231</v>
      </c>
      <c r="F324">
        <v>1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 t="s">
        <v>888</v>
      </c>
      <c r="O324">
        <v>1</v>
      </c>
    </row>
    <row r="325" spans="1:15" x14ac:dyDescent="0.2">
      <c r="A325" t="s">
        <v>530</v>
      </c>
      <c r="B325" t="s">
        <v>103</v>
      </c>
      <c r="C325" t="s">
        <v>129</v>
      </c>
      <c r="D325" t="s">
        <v>639</v>
      </c>
      <c r="E325" t="s">
        <v>296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 t="s">
        <v>643</v>
      </c>
      <c r="O325">
        <v>1</v>
      </c>
    </row>
    <row r="326" spans="1:15" x14ac:dyDescent="0.2">
      <c r="A326" t="s">
        <v>502</v>
      </c>
      <c r="B326" t="s">
        <v>460</v>
      </c>
      <c r="C326" t="s">
        <v>484</v>
      </c>
      <c r="D326" t="s">
        <v>544</v>
      </c>
      <c r="E326" t="s">
        <v>528</v>
      </c>
      <c r="F326">
        <v>0</v>
      </c>
      <c r="G326">
        <v>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 t="s">
        <v>807</v>
      </c>
      <c r="O326">
        <v>1</v>
      </c>
    </row>
    <row r="327" spans="1:15" x14ac:dyDescent="0.2">
      <c r="A327" t="s">
        <v>492</v>
      </c>
      <c r="B327" t="s">
        <v>179</v>
      </c>
      <c r="C327" t="s">
        <v>213</v>
      </c>
      <c r="D327" t="s">
        <v>469</v>
      </c>
      <c r="E327" t="s">
        <v>193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 t="s">
        <v>267</v>
      </c>
      <c r="O327">
        <v>1</v>
      </c>
    </row>
    <row r="328" spans="1:15" x14ac:dyDescent="0.2">
      <c r="A328" t="s">
        <v>458</v>
      </c>
      <c r="B328" t="s">
        <v>162</v>
      </c>
      <c r="C328" t="s">
        <v>224</v>
      </c>
      <c r="D328" t="s">
        <v>889</v>
      </c>
      <c r="E328" t="s">
        <v>161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 t="s">
        <v>890</v>
      </c>
      <c r="O328">
        <v>1</v>
      </c>
    </row>
    <row r="329" spans="1:15" x14ac:dyDescent="0.2">
      <c r="A329" t="s">
        <v>563</v>
      </c>
      <c r="B329" t="s">
        <v>224</v>
      </c>
      <c r="C329" t="s">
        <v>133</v>
      </c>
      <c r="D329" t="s">
        <v>528</v>
      </c>
      <c r="E329" t="s">
        <v>295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1</v>
      </c>
      <c r="N329" t="s">
        <v>737</v>
      </c>
      <c r="O329">
        <v>1</v>
      </c>
    </row>
    <row r="330" spans="1:15" x14ac:dyDescent="0.2">
      <c r="A330" t="s">
        <v>534</v>
      </c>
      <c r="B330" t="s">
        <v>469</v>
      </c>
      <c r="C330" t="s">
        <v>151</v>
      </c>
      <c r="D330" t="s">
        <v>469</v>
      </c>
      <c r="E330" t="s">
        <v>536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1</v>
      </c>
      <c r="N330" t="s">
        <v>594</v>
      </c>
      <c r="O330">
        <v>1</v>
      </c>
    </row>
    <row r="331" spans="1:15" x14ac:dyDescent="0.2">
      <c r="A331" t="s">
        <v>602</v>
      </c>
      <c r="B331" t="s">
        <v>891</v>
      </c>
      <c r="C331" t="s">
        <v>213</v>
      </c>
      <c r="D331" t="s">
        <v>566</v>
      </c>
      <c r="E331" t="s">
        <v>499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 t="s">
        <v>182</v>
      </c>
      <c r="O331">
        <v>1</v>
      </c>
    </row>
    <row r="332" spans="1:15" x14ac:dyDescent="0.2">
      <c r="A332" t="s">
        <v>495</v>
      </c>
      <c r="B332" t="s">
        <v>469</v>
      </c>
      <c r="C332" t="s">
        <v>115</v>
      </c>
      <c r="D332" t="s">
        <v>469</v>
      </c>
      <c r="E332" t="s">
        <v>193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1</v>
      </c>
      <c r="N332" t="s">
        <v>892</v>
      </c>
      <c r="O332">
        <v>1</v>
      </c>
    </row>
    <row r="333" spans="1:15" x14ac:dyDescent="0.2">
      <c r="A333" t="s">
        <v>471</v>
      </c>
      <c r="B333" t="s">
        <v>469</v>
      </c>
      <c r="C333" t="s">
        <v>307</v>
      </c>
      <c r="D333" t="s">
        <v>469</v>
      </c>
      <c r="E333" t="s">
        <v>133</v>
      </c>
      <c r="F333">
        <v>0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1</v>
      </c>
      <c r="N333" t="s">
        <v>874</v>
      </c>
      <c r="O333">
        <v>1</v>
      </c>
    </row>
    <row r="334" spans="1:15" x14ac:dyDescent="0.2">
      <c r="A334" t="s">
        <v>519</v>
      </c>
      <c r="B334" t="s">
        <v>307</v>
      </c>
      <c r="C334" t="s">
        <v>129</v>
      </c>
      <c r="D334" t="s">
        <v>296</v>
      </c>
      <c r="E334" t="s">
        <v>239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 t="s">
        <v>893</v>
      </c>
      <c r="O334">
        <v>1</v>
      </c>
    </row>
    <row r="335" spans="1:15" x14ac:dyDescent="0.2">
      <c r="A335" t="s">
        <v>534</v>
      </c>
      <c r="B335" t="s">
        <v>544</v>
      </c>
      <c r="C335" t="s">
        <v>307</v>
      </c>
      <c r="D335" t="s">
        <v>544</v>
      </c>
      <c r="E335" t="s">
        <v>482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1</v>
      </c>
      <c r="N335" t="s">
        <v>894</v>
      </c>
      <c r="O335">
        <v>1</v>
      </c>
    </row>
    <row r="336" spans="1:15" x14ac:dyDescent="0.2">
      <c r="A336" t="s">
        <v>468</v>
      </c>
      <c r="B336" t="s">
        <v>484</v>
      </c>
      <c r="C336" t="s">
        <v>106</v>
      </c>
      <c r="D336" t="s">
        <v>125</v>
      </c>
      <c r="E336" t="s">
        <v>531</v>
      </c>
      <c r="F336">
        <v>1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 t="s">
        <v>895</v>
      </c>
      <c r="O336">
        <v>1</v>
      </c>
    </row>
    <row r="337" spans="1:15" x14ac:dyDescent="0.2">
      <c r="A337" t="s">
        <v>499</v>
      </c>
      <c r="B337" t="s">
        <v>252</v>
      </c>
      <c r="C337" t="s">
        <v>307</v>
      </c>
      <c r="D337" t="s">
        <v>151</v>
      </c>
      <c r="E337" t="s">
        <v>482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0</v>
      </c>
      <c r="N337" t="s">
        <v>896</v>
      </c>
      <c r="O337">
        <v>1</v>
      </c>
    </row>
    <row r="338" spans="1:15" x14ac:dyDescent="0.2">
      <c r="A338" t="s">
        <v>471</v>
      </c>
      <c r="B338" t="s">
        <v>213</v>
      </c>
      <c r="C338" t="s">
        <v>252</v>
      </c>
      <c r="D338" t="s">
        <v>558</v>
      </c>
      <c r="E338" t="s">
        <v>133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1</v>
      </c>
      <c r="L338">
        <v>0</v>
      </c>
      <c r="M338">
        <v>0</v>
      </c>
      <c r="N338" t="s">
        <v>228</v>
      </c>
      <c r="O338">
        <v>1</v>
      </c>
    </row>
    <row r="339" spans="1:15" x14ac:dyDescent="0.2">
      <c r="A339" t="s">
        <v>552</v>
      </c>
      <c r="B339" t="s">
        <v>499</v>
      </c>
      <c r="C339" t="s">
        <v>528</v>
      </c>
      <c r="D339" t="s">
        <v>231</v>
      </c>
      <c r="E339" t="s">
        <v>133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1</v>
      </c>
      <c r="N339" t="s">
        <v>897</v>
      </c>
      <c r="O339">
        <v>1</v>
      </c>
    </row>
    <row r="340" spans="1:15" x14ac:dyDescent="0.2">
      <c r="A340" t="s">
        <v>499</v>
      </c>
      <c r="B340" t="s">
        <v>558</v>
      </c>
      <c r="C340" t="s">
        <v>252</v>
      </c>
      <c r="D340" t="s">
        <v>103</v>
      </c>
      <c r="E340" t="s">
        <v>129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0</v>
      </c>
      <c r="N340" t="s">
        <v>898</v>
      </c>
      <c r="O340">
        <v>1</v>
      </c>
    </row>
    <row r="341" spans="1:15" x14ac:dyDescent="0.2">
      <c r="A341" t="s">
        <v>607</v>
      </c>
      <c r="B341" t="s">
        <v>151</v>
      </c>
      <c r="C341" t="s">
        <v>224</v>
      </c>
      <c r="D341" t="s">
        <v>115</v>
      </c>
      <c r="E341" t="s">
        <v>493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1</v>
      </c>
      <c r="N341" t="s">
        <v>587</v>
      </c>
      <c r="O341">
        <v>1</v>
      </c>
    </row>
    <row r="342" spans="1:15" x14ac:dyDescent="0.2">
      <c r="A342" t="s">
        <v>468</v>
      </c>
      <c r="B342" t="s">
        <v>257</v>
      </c>
      <c r="C342" t="s">
        <v>129</v>
      </c>
      <c r="D342" t="s">
        <v>802</v>
      </c>
      <c r="E342" t="s">
        <v>125</v>
      </c>
      <c r="F342">
        <v>1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0</v>
      </c>
      <c r="N342" t="s">
        <v>884</v>
      </c>
      <c r="O342">
        <v>1</v>
      </c>
    </row>
    <row r="343" spans="1:15" x14ac:dyDescent="0.2">
      <c r="A343" t="s">
        <v>468</v>
      </c>
      <c r="B343" t="s">
        <v>483</v>
      </c>
      <c r="C343" t="s">
        <v>224</v>
      </c>
      <c r="D343" t="s">
        <v>511</v>
      </c>
      <c r="E343" t="s">
        <v>133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1</v>
      </c>
      <c r="L343">
        <v>0</v>
      </c>
      <c r="M343">
        <v>0</v>
      </c>
      <c r="N343" t="s">
        <v>899</v>
      </c>
      <c r="O343">
        <v>1</v>
      </c>
    </row>
    <row r="344" spans="1:15" x14ac:dyDescent="0.2">
      <c r="A344" t="s">
        <v>607</v>
      </c>
      <c r="B344" t="s">
        <v>216</v>
      </c>
      <c r="C344" t="s">
        <v>503</v>
      </c>
      <c r="D344" t="s">
        <v>126</v>
      </c>
      <c r="E344" t="s">
        <v>81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1</v>
      </c>
      <c r="N344" t="s">
        <v>900</v>
      </c>
      <c r="O344">
        <v>1</v>
      </c>
    </row>
    <row r="345" spans="1:15" x14ac:dyDescent="0.2">
      <c r="A345" t="s">
        <v>517</v>
      </c>
      <c r="B345" t="s">
        <v>901</v>
      </c>
      <c r="C345" t="s">
        <v>151</v>
      </c>
      <c r="D345" t="s">
        <v>902</v>
      </c>
      <c r="E345" t="s">
        <v>161</v>
      </c>
      <c r="F345">
        <v>1</v>
      </c>
      <c r="G345">
        <v>0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1</v>
      </c>
      <c r="N345" t="s">
        <v>903</v>
      </c>
      <c r="O345">
        <v>1</v>
      </c>
    </row>
    <row r="346" spans="1:15" x14ac:dyDescent="0.2">
      <c r="A346" t="s">
        <v>458</v>
      </c>
      <c r="B346" t="s">
        <v>106</v>
      </c>
      <c r="C346" t="s">
        <v>129</v>
      </c>
      <c r="D346" t="s">
        <v>226</v>
      </c>
      <c r="E346" t="s">
        <v>133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0</v>
      </c>
      <c r="M346">
        <v>0</v>
      </c>
      <c r="N346" t="s">
        <v>883</v>
      </c>
      <c r="O346">
        <v>1</v>
      </c>
    </row>
    <row r="347" spans="1:15" x14ac:dyDescent="0.2">
      <c r="A347" t="s">
        <v>492</v>
      </c>
      <c r="B347" t="s">
        <v>904</v>
      </c>
      <c r="C347" t="s">
        <v>503</v>
      </c>
      <c r="D347" t="s">
        <v>224</v>
      </c>
      <c r="E347" t="s">
        <v>493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1</v>
      </c>
      <c r="N347" t="s">
        <v>905</v>
      </c>
      <c r="O347">
        <v>1</v>
      </c>
    </row>
    <row r="348" spans="1:15" x14ac:dyDescent="0.2">
      <c r="A348" t="s">
        <v>154</v>
      </c>
      <c r="B348" t="s">
        <v>469</v>
      </c>
      <c r="C348" t="s">
        <v>129</v>
      </c>
      <c r="D348" t="s">
        <v>469</v>
      </c>
      <c r="E348" t="s">
        <v>483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0</v>
      </c>
      <c r="M348">
        <v>1</v>
      </c>
      <c r="N348" t="s">
        <v>906</v>
      </c>
      <c r="O348">
        <v>1</v>
      </c>
    </row>
    <row r="349" spans="1:15" x14ac:dyDescent="0.2">
      <c r="A349" t="s">
        <v>471</v>
      </c>
      <c r="B349" t="s">
        <v>605</v>
      </c>
      <c r="C349" t="s">
        <v>252</v>
      </c>
      <c r="D349" t="s">
        <v>493</v>
      </c>
      <c r="E349" t="s">
        <v>154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 t="s">
        <v>907</v>
      </c>
      <c r="O349">
        <v>1</v>
      </c>
    </row>
    <row r="350" spans="1:15" x14ac:dyDescent="0.2">
      <c r="A350" t="s">
        <v>534</v>
      </c>
      <c r="B350" t="s">
        <v>908</v>
      </c>
      <c r="C350" t="s">
        <v>224</v>
      </c>
      <c r="D350" t="s">
        <v>909</v>
      </c>
      <c r="E350" t="s">
        <v>485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 t="s">
        <v>910</v>
      </c>
      <c r="O350">
        <v>1</v>
      </c>
    </row>
    <row r="351" spans="1:15" x14ac:dyDescent="0.2">
      <c r="A351" t="s">
        <v>466</v>
      </c>
      <c r="B351" t="s">
        <v>503</v>
      </c>
      <c r="C351" t="s">
        <v>503</v>
      </c>
      <c r="D351" t="s">
        <v>558</v>
      </c>
      <c r="E351" t="s">
        <v>115</v>
      </c>
      <c r="F351">
        <v>1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1</v>
      </c>
      <c r="N351" t="s">
        <v>911</v>
      </c>
      <c r="O351">
        <v>1</v>
      </c>
    </row>
    <row r="352" spans="1:15" x14ac:dyDescent="0.2">
      <c r="A352" t="s">
        <v>607</v>
      </c>
      <c r="B352" t="s">
        <v>266</v>
      </c>
      <c r="C352" t="s">
        <v>484</v>
      </c>
      <c r="D352" t="s">
        <v>259</v>
      </c>
      <c r="E352" t="s">
        <v>511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1</v>
      </c>
      <c r="M352">
        <v>0</v>
      </c>
      <c r="N352" t="s">
        <v>912</v>
      </c>
      <c r="O352">
        <v>1</v>
      </c>
    </row>
    <row r="353" spans="1:15" x14ac:dyDescent="0.2">
      <c r="A353" t="s">
        <v>458</v>
      </c>
      <c r="B353" t="s">
        <v>469</v>
      </c>
      <c r="C353" t="s">
        <v>307</v>
      </c>
      <c r="D353" t="s">
        <v>129</v>
      </c>
      <c r="E353" t="s">
        <v>493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 t="s">
        <v>286</v>
      </c>
      <c r="O353">
        <v>1</v>
      </c>
    </row>
    <row r="354" spans="1:15" x14ac:dyDescent="0.2">
      <c r="A354" t="s">
        <v>632</v>
      </c>
      <c r="B354" t="s">
        <v>913</v>
      </c>
      <c r="C354" t="s">
        <v>106</v>
      </c>
      <c r="D354" t="s">
        <v>92</v>
      </c>
      <c r="E354" t="s">
        <v>460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1</v>
      </c>
      <c r="N354" t="s">
        <v>621</v>
      </c>
      <c r="O354">
        <v>1</v>
      </c>
    </row>
    <row r="355" spans="1:15" x14ac:dyDescent="0.2">
      <c r="A355" t="s">
        <v>742</v>
      </c>
      <c r="B355" t="s">
        <v>469</v>
      </c>
      <c r="C355" t="s">
        <v>252</v>
      </c>
      <c r="D355" t="s">
        <v>469</v>
      </c>
      <c r="E355" t="s">
        <v>233</v>
      </c>
      <c r="F355">
        <v>1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1</v>
      </c>
      <c r="M355">
        <v>0</v>
      </c>
      <c r="N355" t="s">
        <v>914</v>
      </c>
      <c r="O355">
        <v>1</v>
      </c>
    </row>
    <row r="356" spans="1:15" x14ac:dyDescent="0.2">
      <c r="A356" t="s">
        <v>477</v>
      </c>
      <c r="B356" t="s">
        <v>469</v>
      </c>
      <c r="C356" t="s">
        <v>110</v>
      </c>
      <c r="D356" t="s">
        <v>469</v>
      </c>
      <c r="E356" t="s">
        <v>154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1</v>
      </c>
      <c r="M356">
        <v>1</v>
      </c>
      <c r="N356" t="s">
        <v>915</v>
      </c>
      <c r="O356">
        <v>1</v>
      </c>
    </row>
    <row r="357" spans="1:15" x14ac:dyDescent="0.2">
      <c r="A357" t="s">
        <v>563</v>
      </c>
      <c r="B357" t="s">
        <v>255</v>
      </c>
      <c r="C357" t="s">
        <v>103</v>
      </c>
      <c r="D357" t="s">
        <v>224</v>
      </c>
      <c r="E357" t="s">
        <v>231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1</v>
      </c>
      <c r="N357" t="s">
        <v>916</v>
      </c>
      <c r="O357">
        <v>1</v>
      </c>
    </row>
    <row r="358" spans="1:15" x14ac:dyDescent="0.2">
      <c r="A358" t="s">
        <v>460</v>
      </c>
      <c r="B358" t="s">
        <v>233</v>
      </c>
      <c r="C358" t="s">
        <v>224</v>
      </c>
      <c r="D358" t="s">
        <v>917</v>
      </c>
      <c r="E358" t="s">
        <v>233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1</v>
      </c>
      <c r="L358">
        <v>0</v>
      </c>
      <c r="M358">
        <v>0</v>
      </c>
      <c r="N358" t="s">
        <v>527</v>
      </c>
      <c r="O358">
        <v>1</v>
      </c>
    </row>
    <row r="359" spans="1:15" x14ac:dyDescent="0.2">
      <c r="A359" t="s">
        <v>253</v>
      </c>
      <c r="B359" t="s">
        <v>467</v>
      </c>
      <c r="C359" t="s">
        <v>224</v>
      </c>
      <c r="D359" t="s">
        <v>145</v>
      </c>
      <c r="E359" t="s">
        <v>106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 t="s">
        <v>575</v>
      </c>
      <c r="O359">
        <v>1</v>
      </c>
    </row>
    <row r="360" spans="1:15" x14ac:dyDescent="0.2">
      <c r="A360" t="s">
        <v>514</v>
      </c>
      <c r="B360" t="s">
        <v>106</v>
      </c>
      <c r="C360" t="s">
        <v>224</v>
      </c>
      <c r="D360" t="s">
        <v>511</v>
      </c>
      <c r="E360" t="s">
        <v>233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1</v>
      </c>
      <c r="N360" t="s">
        <v>918</v>
      </c>
      <c r="O360">
        <v>1</v>
      </c>
    </row>
    <row r="361" spans="1:15" x14ac:dyDescent="0.2">
      <c r="A361" t="s">
        <v>519</v>
      </c>
      <c r="B361" t="s">
        <v>233</v>
      </c>
      <c r="C361" t="s">
        <v>252</v>
      </c>
      <c r="D361" t="s">
        <v>154</v>
      </c>
      <c r="E361" t="s">
        <v>161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 t="s">
        <v>919</v>
      </c>
      <c r="O361">
        <v>1</v>
      </c>
    </row>
    <row r="362" spans="1:15" x14ac:dyDescent="0.2">
      <c r="A362" t="s">
        <v>602</v>
      </c>
      <c r="B362" t="s">
        <v>178</v>
      </c>
      <c r="C362" t="s">
        <v>252</v>
      </c>
      <c r="D362" t="s">
        <v>495</v>
      </c>
      <c r="E362" t="s">
        <v>125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 t="s">
        <v>920</v>
      </c>
      <c r="O362">
        <v>1</v>
      </c>
    </row>
    <row r="363" spans="1:15" x14ac:dyDescent="0.2">
      <c r="A363" t="s">
        <v>533</v>
      </c>
      <c r="B363" t="s">
        <v>921</v>
      </c>
      <c r="C363" t="s">
        <v>252</v>
      </c>
      <c r="D363" t="s">
        <v>922</v>
      </c>
      <c r="E363" t="s">
        <v>482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1</v>
      </c>
      <c r="L363">
        <v>0</v>
      </c>
      <c r="M363">
        <v>1</v>
      </c>
      <c r="N363" t="s">
        <v>923</v>
      </c>
      <c r="O363">
        <v>1</v>
      </c>
    </row>
    <row r="364" spans="1:15" x14ac:dyDescent="0.2">
      <c r="A364" t="s">
        <v>541</v>
      </c>
      <c r="B364" t="s">
        <v>477</v>
      </c>
      <c r="C364" t="s">
        <v>129</v>
      </c>
      <c r="D364" t="s">
        <v>492</v>
      </c>
      <c r="E364" t="s">
        <v>154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1</v>
      </c>
      <c r="N364" t="s">
        <v>924</v>
      </c>
      <c r="O364">
        <v>1</v>
      </c>
    </row>
    <row r="365" spans="1:15" x14ac:dyDescent="0.2">
      <c r="A365" t="s">
        <v>523</v>
      </c>
      <c r="B365" t="s">
        <v>106</v>
      </c>
      <c r="C365" t="s">
        <v>224</v>
      </c>
      <c r="D365" t="s">
        <v>542</v>
      </c>
      <c r="E365" t="s">
        <v>493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 t="s">
        <v>925</v>
      </c>
      <c r="O365">
        <v>1</v>
      </c>
    </row>
    <row r="366" spans="1:15" x14ac:dyDescent="0.2">
      <c r="A366" t="s">
        <v>462</v>
      </c>
      <c r="B366" t="s">
        <v>257</v>
      </c>
      <c r="C366" t="s">
        <v>224</v>
      </c>
      <c r="D366" t="s">
        <v>554</v>
      </c>
      <c r="E366" t="s">
        <v>231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1</v>
      </c>
      <c r="N366" t="s">
        <v>926</v>
      </c>
      <c r="O366">
        <v>1</v>
      </c>
    </row>
    <row r="367" spans="1:15" x14ac:dyDescent="0.2">
      <c r="A367" t="s">
        <v>477</v>
      </c>
      <c r="B367" t="s">
        <v>137</v>
      </c>
      <c r="C367" t="s">
        <v>252</v>
      </c>
      <c r="D367" t="s">
        <v>693</v>
      </c>
      <c r="E367" t="s">
        <v>231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  <c r="N367" t="s">
        <v>927</v>
      </c>
      <c r="O367">
        <v>1</v>
      </c>
    </row>
    <row r="368" spans="1:15" x14ac:dyDescent="0.2">
      <c r="A368" t="s">
        <v>530</v>
      </c>
      <c r="B368" t="s">
        <v>563</v>
      </c>
      <c r="C368" t="s">
        <v>224</v>
      </c>
      <c r="D368" t="s">
        <v>582</v>
      </c>
      <c r="E368" t="s">
        <v>460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 t="s">
        <v>712</v>
      </c>
      <c r="O368">
        <v>1</v>
      </c>
    </row>
    <row r="369" spans="1:15" x14ac:dyDescent="0.2">
      <c r="A369" t="s">
        <v>466</v>
      </c>
      <c r="B369" t="s">
        <v>484</v>
      </c>
      <c r="C369" t="s">
        <v>151</v>
      </c>
      <c r="D369" t="s">
        <v>484</v>
      </c>
      <c r="E369" t="s">
        <v>602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1</v>
      </c>
      <c r="N369" t="s">
        <v>928</v>
      </c>
      <c r="O369">
        <v>1</v>
      </c>
    </row>
    <row r="370" spans="1:15" x14ac:dyDescent="0.2">
      <c r="A370" t="s">
        <v>526</v>
      </c>
      <c r="B370" t="s">
        <v>469</v>
      </c>
      <c r="C370" t="s">
        <v>252</v>
      </c>
      <c r="D370" t="s">
        <v>469</v>
      </c>
      <c r="E370" t="s">
        <v>133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1</v>
      </c>
      <c r="N370" t="s">
        <v>929</v>
      </c>
      <c r="O370">
        <v>1</v>
      </c>
    </row>
    <row r="371" spans="1:15" x14ac:dyDescent="0.2">
      <c r="A371" t="s">
        <v>534</v>
      </c>
      <c r="B371" t="s">
        <v>473</v>
      </c>
      <c r="C371" t="s">
        <v>224</v>
      </c>
      <c r="D371" t="s">
        <v>521</v>
      </c>
      <c r="E371" t="s">
        <v>110</v>
      </c>
      <c r="F371">
        <v>0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1</v>
      </c>
      <c r="N371" t="s">
        <v>930</v>
      </c>
      <c r="O371">
        <v>1</v>
      </c>
    </row>
    <row r="372" spans="1:15" x14ac:dyDescent="0.2">
      <c r="A372" t="s">
        <v>578</v>
      </c>
      <c r="B372" t="s">
        <v>497</v>
      </c>
      <c r="C372" t="s">
        <v>224</v>
      </c>
      <c r="D372" t="s">
        <v>511</v>
      </c>
      <c r="E372" t="s">
        <v>154</v>
      </c>
      <c r="F372">
        <v>0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N372" t="s">
        <v>641</v>
      </c>
      <c r="O372">
        <v>1</v>
      </c>
    </row>
    <row r="373" spans="1:15" x14ac:dyDescent="0.2">
      <c r="A373" t="s">
        <v>514</v>
      </c>
      <c r="B373" t="s">
        <v>252</v>
      </c>
      <c r="C373" t="s">
        <v>558</v>
      </c>
      <c r="D373" t="s">
        <v>252</v>
      </c>
      <c r="E373" t="s">
        <v>154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1</v>
      </c>
      <c r="N373" t="s">
        <v>286</v>
      </c>
      <c r="O373">
        <v>1</v>
      </c>
    </row>
    <row r="374" spans="1:15" x14ac:dyDescent="0.2">
      <c r="A374" t="s">
        <v>500</v>
      </c>
      <c r="B374" t="s">
        <v>931</v>
      </c>
      <c r="C374" t="s">
        <v>224</v>
      </c>
      <c r="D374" t="s">
        <v>922</v>
      </c>
      <c r="E374" t="s">
        <v>482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0</v>
      </c>
      <c r="N374" t="s">
        <v>932</v>
      </c>
      <c r="O374">
        <v>1</v>
      </c>
    </row>
    <row r="375" spans="1:15" x14ac:dyDescent="0.2">
      <c r="A375" t="s">
        <v>544</v>
      </c>
      <c r="B375" t="s">
        <v>269</v>
      </c>
      <c r="C375" t="s">
        <v>151</v>
      </c>
      <c r="D375" t="s">
        <v>162</v>
      </c>
      <c r="E375" t="s">
        <v>133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1</v>
      </c>
      <c r="N375" t="s">
        <v>933</v>
      </c>
      <c r="O375">
        <v>1</v>
      </c>
    </row>
    <row r="376" spans="1:15" x14ac:dyDescent="0.2">
      <c r="A376" t="s">
        <v>742</v>
      </c>
      <c r="B376" t="s">
        <v>224</v>
      </c>
      <c r="C376" t="s">
        <v>252</v>
      </c>
      <c r="D376" t="s">
        <v>224</v>
      </c>
      <c r="E376" t="s">
        <v>133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1</v>
      </c>
      <c r="N376" t="s">
        <v>934</v>
      </c>
      <c r="O376">
        <v>1</v>
      </c>
    </row>
    <row r="377" spans="1:15" x14ac:dyDescent="0.2">
      <c r="A377" t="s">
        <v>495</v>
      </c>
      <c r="B377" t="s">
        <v>469</v>
      </c>
      <c r="C377" t="s">
        <v>252</v>
      </c>
      <c r="D377" t="s">
        <v>469</v>
      </c>
      <c r="E377" t="s">
        <v>295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 t="s">
        <v>935</v>
      </c>
      <c r="O377">
        <v>1</v>
      </c>
    </row>
    <row r="378" spans="1:15" x14ac:dyDescent="0.2">
      <c r="A378" t="s">
        <v>523</v>
      </c>
      <c r="B378" t="s">
        <v>234</v>
      </c>
      <c r="C378" t="s">
        <v>252</v>
      </c>
      <c r="D378" t="s">
        <v>307</v>
      </c>
      <c r="E378" t="s">
        <v>92</v>
      </c>
      <c r="F378">
        <v>0</v>
      </c>
      <c r="G378">
        <v>1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  <c r="N378" t="s">
        <v>792</v>
      </c>
      <c r="O378">
        <v>1</v>
      </c>
    </row>
    <row r="379" spans="1:15" x14ac:dyDescent="0.2">
      <c r="A379" t="s">
        <v>495</v>
      </c>
      <c r="B379" t="s">
        <v>154</v>
      </c>
      <c r="C379" t="s">
        <v>129</v>
      </c>
      <c r="D379" t="s">
        <v>468</v>
      </c>
      <c r="E379" t="s">
        <v>231</v>
      </c>
      <c r="F379">
        <v>1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 t="s">
        <v>936</v>
      </c>
      <c r="O379">
        <v>1</v>
      </c>
    </row>
    <row r="380" spans="1:15" x14ac:dyDescent="0.2">
      <c r="A380" t="s">
        <v>511</v>
      </c>
      <c r="B380" t="s">
        <v>484</v>
      </c>
      <c r="C380" t="s">
        <v>252</v>
      </c>
      <c r="D380" t="s">
        <v>178</v>
      </c>
      <c r="E380" t="s">
        <v>161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0</v>
      </c>
      <c r="N380" t="s">
        <v>937</v>
      </c>
      <c r="O380">
        <v>1</v>
      </c>
    </row>
    <row r="381" spans="1:15" x14ac:dyDescent="0.2">
      <c r="A381" t="s">
        <v>92</v>
      </c>
      <c r="B381" t="s">
        <v>154</v>
      </c>
      <c r="C381" t="s">
        <v>129</v>
      </c>
      <c r="D381" t="s">
        <v>231</v>
      </c>
      <c r="E381" t="s">
        <v>193</v>
      </c>
      <c r="F381">
        <v>1</v>
      </c>
      <c r="G381">
        <v>0</v>
      </c>
      <c r="H381">
        <v>1</v>
      </c>
      <c r="I381">
        <v>0</v>
      </c>
      <c r="J381">
        <v>0</v>
      </c>
      <c r="K381">
        <v>1</v>
      </c>
      <c r="L381">
        <v>0</v>
      </c>
      <c r="M381">
        <v>1</v>
      </c>
      <c r="N381" t="s">
        <v>938</v>
      </c>
      <c r="O381">
        <v>1</v>
      </c>
    </row>
    <row r="382" spans="1:15" x14ac:dyDescent="0.2">
      <c r="A382" t="s">
        <v>477</v>
      </c>
      <c r="B382" t="s">
        <v>469</v>
      </c>
      <c r="C382" t="s">
        <v>252</v>
      </c>
      <c r="D382" t="s">
        <v>469</v>
      </c>
      <c r="E382" t="s">
        <v>110</v>
      </c>
      <c r="F382">
        <v>0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1</v>
      </c>
      <c r="M382">
        <v>1</v>
      </c>
      <c r="N382" t="s">
        <v>939</v>
      </c>
      <c r="O382">
        <v>1</v>
      </c>
    </row>
    <row r="383" spans="1:15" x14ac:dyDescent="0.2">
      <c r="A383" t="s">
        <v>458</v>
      </c>
      <c r="B383" t="s">
        <v>469</v>
      </c>
      <c r="C383" t="s">
        <v>129</v>
      </c>
      <c r="D383" t="s">
        <v>469</v>
      </c>
      <c r="E383" t="s">
        <v>255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0</v>
      </c>
      <c r="N383" t="s">
        <v>240</v>
      </c>
      <c r="O383">
        <v>1</v>
      </c>
    </row>
    <row r="384" spans="1:15" x14ac:dyDescent="0.2">
      <c r="A384" t="s">
        <v>495</v>
      </c>
      <c r="B384" t="s">
        <v>671</v>
      </c>
      <c r="C384" t="s">
        <v>224</v>
      </c>
      <c r="D384" t="s">
        <v>106</v>
      </c>
      <c r="E384" t="s">
        <v>92</v>
      </c>
      <c r="F384">
        <v>0</v>
      </c>
      <c r="G384">
        <v>1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1</v>
      </c>
      <c r="N384" t="s">
        <v>940</v>
      </c>
      <c r="O384">
        <v>1</v>
      </c>
    </row>
    <row r="385" spans="1:15" x14ac:dyDescent="0.2">
      <c r="A385" t="s">
        <v>602</v>
      </c>
      <c r="B385" t="s">
        <v>469</v>
      </c>
      <c r="C385" t="s">
        <v>296</v>
      </c>
      <c r="D385" t="s">
        <v>469</v>
      </c>
      <c r="E385" t="s">
        <v>460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 t="s">
        <v>941</v>
      </c>
      <c r="O385">
        <v>1</v>
      </c>
    </row>
    <row r="386" spans="1:15" x14ac:dyDescent="0.2">
      <c r="A386" t="s">
        <v>468</v>
      </c>
      <c r="B386" t="s">
        <v>296</v>
      </c>
      <c r="C386" t="s">
        <v>115</v>
      </c>
      <c r="D386" t="s">
        <v>528</v>
      </c>
      <c r="E386" t="s">
        <v>511</v>
      </c>
      <c r="F386">
        <v>1</v>
      </c>
      <c r="G386">
        <v>0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1</v>
      </c>
      <c r="N386" t="s">
        <v>942</v>
      </c>
      <c r="O386">
        <v>1</v>
      </c>
    </row>
    <row r="387" spans="1:15" x14ac:dyDescent="0.2">
      <c r="A387" t="s">
        <v>563</v>
      </c>
      <c r="B387" t="s">
        <v>282</v>
      </c>
      <c r="C387" t="s">
        <v>252</v>
      </c>
      <c r="D387" t="s">
        <v>233</v>
      </c>
      <c r="E387" t="s">
        <v>193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1</v>
      </c>
      <c r="N387" t="s">
        <v>943</v>
      </c>
      <c r="O387">
        <v>1</v>
      </c>
    </row>
    <row r="388" spans="1:15" x14ac:dyDescent="0.2">
      <c r="A388" t="s">
        <v>519</v>
      </c>
      <c r="B388" t="s">
        <v>502</v>
      </c>
      <c r="C388" t="s">
        <v>125</v>
      </c>
      <c r="D388" t="s">
        <v>466</v>
      </c>
      <c r="E388" t="s">
        <v>295</v>
      </c>
      <c r="F388">
        <v>0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0</v>
      </c>
      <c r="N388" t="s">
        <v>944</v>
      </c>
      <c r="O388">
        <v>1</v>
      </c>
    </row>
    <row r="389" spans="1:15" x14ac:dyDescent="0.2">
      <c r="A389" t="s">
        <v>564</v>
      </c>
      <c r="B389" t="s">
        <v>247</v>
      </c>
      <c r="C389" t="s">
        <v>224</v>
      </c>
      <c r="D389" t="s">
        <v>129</v>
      </c>
      <c r="E389" t="s">
        <v>493</v>
      </c>
      <c r="F389">
        <v>0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 t="s">
        <v>945</v>
      </c>
      <c r="O389">
        <v>1</v>
      </c>
    </row>
    <row r="390" spans="1:15" x14ac:dyDescent="0.2">
      <c r="A390" t="s">
        <v>154</v>
      </c>
      <c r="B390" t="s">
        <v>217</v>
      </c>
      <c r="C390" t="s">
        <v>224</v>
      </c>
      <c r="D390" t="s">
        <v>841</v>
      </c>
      <c r="E390" t="s">
        <v>255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1</v>
      </c>
      <c r="N390" t="s">
        <v>946</v>
      </c>
      <c r="O390">
        <v>1</v>
      </c>
    </row>
    <row r="391" spans="1:15" x14ac:dyDescent="0.2">
      <c r="A391" t="s">
        <v>530</v>
      </c>
      <c r="B391" t="s">
        <v>206</v>
      </c>
      <c r="C391" t="s">
        <v>307</v>
      </c>
      <c r="D391" t="s">
        <v>106</v>
      </c>
      <c r="E391" t="s">
        <v>531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0</v>
      </c>
      <c r="N391" t="s">
        <v>947</v>
      </c>
      <c r="O391">
        <v>1</v>
      </c>
    </row>
    <row r="392" spans="1:15" x14ac:dyDescent="0.2">
      <c r="A392" t="s">
        <v>253</v>
      </c>
      <c r="B392" t="s">
        <v>469</v>
      </c>
      <c r="C392" t="s">
        <v>484</v>
      </c>
      <c r="D392" t="s">
        <v>469</v>
      </c>
      <c r="E392" t="s">
        <v>257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1</v>
      </c>
      <c r="M392">
        <v>1</v>
      </c>
      <c r="N392" t="s">
        <v>948</v>
      </c>
      <c r="O392">
        <v>1</v>
      </c>
    </row>
    <row r="393" spans="1:15" x14ac:dyDescent="0.2">
      <c r="A393" t="s">
        <v>632</v>
      </c>
      <c r="B393" t="s">
        <v>949</v>
      </c>
      <c r="C393" t="s">
        <v>106</v>
      </c>
      <c r="D393" t="s">
        <v>469</v>
      </c>
      <c r="E393" t="s">
        <v>233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1</v>
      </c>
      <c r="N393" t="s">
        <v>598</v>
      </c>
      <c r="O393">
        <v>1</v>
      </c>
    </row>
    <row r="394" spans="1:15" x14ac:dyDescent="0.2">
      <c r="A394" t="s">
        <v>534</v>
      </c>
      <c r="B394" t="s">
        <v>950</v>
      </c>
      <c r="C394" t="s">
        <v>129</v>
      </c>
      <c r="D394" t="s">
        <v>462</v>
      </c>
      <c r="E394" t="s">
        <v>110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1</v>
      </c>
      <c r="N394" t="s">
        <v>292</v>
      </c>
      <c r="O394">
        <v>1</v>
      </c>
    </row>
    <row r="395" spans="1:15" x14ac:dyDescent="0.2">
      <c r="A395" t="s">
        <v>482</v>
      </c>
      <c r="B395" t="s">
        <v>92</v>
      </c>
      <c r="C395" t="s">
        <v>252</v>
      </c>
      <c r="D395" t="s">
        <v>257</v>
      </c>
      <c r="E395" t="s">
        <v>460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 t="s">
        <v>951</v>
      </c>
      <c r="O395">
        <v>1</v>
      </c>
    </row>
    <row r="396" spans="1:15" x14ac:dyDescent="0.2">
      <c r="A396" t="s">
        <v>552</v>
      </c>
      <c r="B396" t="s">
        <v>558</v>
      </c>
      <c r="C396" t="s">
        <v>252</v>
      </c>
      <c r="D396" t="s">
        <v>126</v>
      </c>
      <c r="E396" t="s">
        <v>154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1</v>
      </c>
      <c r="N396" t="s">
        <v>952</v>
      </c>
      <c r="O396">
        <v>1</v>
      </c>
    </row>
    <row r="397" spans="1:15" x14ac:dyDescent="0.2">
      <c r="A397" t="s">
        <v>607</v>
      </c>
      <c r="B397" t="s">
        <v>469</v>
      </c>
      <c r="C397" t="s">
        <v>528</v>
      </c>
      <c r="D397" t="s">
        <v>469</v>
      </c>
      <c r="E397" t="s">
        <v>742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0</v>
      </c>
      <c r="N397" t="s">
        <v>291</v>
      </c>
      <c r="O397">
        <v>1</v>
      </c>
    </row>
    <row r="398" spans="1:15" x14ac:dyDescent="0.2">
      <c r="A398" t="s">
        <v>632</v>
      </c>
      <c r="B398" t="s">
        <v>953</v>
      </c>
      <c r="C398" t="s">
        <v>558</v>
      </c>
      <c r="D398" t="s">
        <v>913</v>
      </c>
      <c r="E398" t="s">
        <v>502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1</v>
      </c>
      <c r="N398" t="s">
        <v>908</v>
      </c>
      <c r="O398">
        <v>1</v>
      </c>
    </row>
    <row r="399" spans="1:15" x14ac:dyDescent="0.2">
      <c r="A399" t="s">
        <v>607</v>
      </c>
      <c r="B399" t="s">
        <v>503</v>
      </c>
      <c r="C399" t="s">
        <v>307</v>
      </c>
      <c r="D399" t="s">
        <v>503</v>
      </c>
      <c r="E399" t="s">
        <v>231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1</v>
      </c>
      <c r="N399" t="s">
        <v>954</v>
      </c>
      <c r="O399">
        <v>1</v>
      </c>
    </row>
    <row r="400" spans="1:15" x14ac:dyDescent="0.2">
      <c r="A400" t="s">
        <v>517</v>
      </c>
      <c r="B400" t="s">
        <v>193</v>
      </c>
      <c r="C400" t="s">
        <v>129</v>
      </c>
      <c r="D400" t="s">
        <v>503</v>
      </c>
      <c r="E400" t="s">
        <v>154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0</v>
      </c>
      <c r="N400" t="s">
        <v>955</v>
      </c>
      <c r="O400">
        <v>1</v>
      </c>
    </row>
    <row r="401" spans="1:15" x14ac:dyDescent="0.2">
      <c r="A401" t="s">
        <v>526</v>
      </c>
      <c r="B401" t="s">
        <v>466</v>
      </c>
      <c r="C401" t="s">
        <v>252</v>
      </c>
      <c r="D401" t="s">
        <v>274</v>
      </c>
      <c r="E401" t="s">
        <v>233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  <c r="N401" t="s">
        <v>537</v>
      </c>
      <c r="O401">
        <v>1</v>
      </c>
    </row>
    <row r="402" spans="1:15" x14ac:dyDescent="0.2">
      <c r="A402" t="s">
        <v>526</v>
      </c>
      <c r="B402" t="s">
        <v>117</v>
      </c>
      <c r="C402" t="s">
        <v>252</v>
      </c>
      <c r="D402" t="s">
        <v>544</v>
      </c>
      <c r="E402" t="s">
        <v>133</v>
      </c>
      <c r="F402">
        <v>1</v>
      </c>
      <c r="G402">
        <v>0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1</v>
      </c>
      <c r="N402" t="s">
        <v>956</v>
      </c>
      <c r="O402">
        <v>1</v>
      </c>
    </row>
    <row r="403" spans="1:15" x14ac:dyDescent="0.2">
      <c r="A403" t="s">
        <v>471</v>
      </c>
      <c r="B403" t="s">
        <v>103</v>
      </c>
      <c r="C403" t="s">
        <v>224</v>
      </c>
      <c r="D403" t="s">
        <v>469</v>
      </c>
      <c r="E403" t="s">
        <v>239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1</v>
      </c>
      <c r="N403" t="s">
        <v>124</v>
      </c>
      <c r="O403">
        <v>1</v>
      </c>
    </row>
    <row r="404" spans="1:15" x14ac:dyDescent="0.2">
      <c r="A404" t="s">
        <v>607</v>
      </c>
      <c r="B404" t="s">
        <v>484</v>
      </c>
      <c r="C404" t="s">
        <v>224</v>
      </c>
      <c r="D404" t="s">
        <v>125</v>
      </c>
      <c r="E404" t="s">
        <v>110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 t="s">
        <v>957</v>
      </c>
      <c r="O404">
        <v>1</v>
      </c>
    </row>
    <row r="405" spans="1:15" x14ac:dyDescent="0.2">
      <c r="A405" t="s">
        <v>578</v>
      </c>
      <c r="B405" t="s">
        <v>503</v>
      </c>
      <c r="C405" t="s">
        <v>151</v>
      </c>
      <c r="D405" t="s">
        <v>503</v>
      </c>
      <c r="E405" t="s">
        <v>482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1</v>
      </c>
      <c r="N405" t="s">
        <v>958</v>
      </c>
      <c r="O405">
        <v>1</v>
      </c>
    </row>
    <row r="406" spans="1:15" x14ac:dyDescent="0.2">
      <c r="A406" t="s">
        <v>530</v>
      </c>
      <c r="B406" t="s">
        <v>103</v>
      </c>
      <c r="C406" t="s">
        <v>252</v>
      </c>
      <c r="D406" t="s">
        <v>179</v>
      </c>
      <c r="E406" t="s">
        <v>125</v>
      </c>
      <c r="F406">
        <v>0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 t="s">
        <v>959</v>
      </c>
      <c r="O406">
        <v>1</v>
      </c>
    </row>
    <row r="407" spans="1:15" x14ac:dyDescent="0.2">
      <c r="A407" t="s">
        <v>468</v>
      </c>
      <c r="B407" t="s">
        <v>469</v>
      </c>
      <c r="C407" t="s">
        <v>224</v>
      </c>
      <c r="D407" t="s">
        <v>469</v>
      </c>
      <c r="E407" t="s">
        <v>558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 t="s">
        <v>960</v>
      </c>
      <c r="O407">
        <v>1</v>
      </c>
    </row>
    <row r="408" spans="1:15" x14ac:dyDescent="0.2">
      <c r="A408" t="s">
        <v>536</v>
      </c>
      <c r="B408" t="s">
        <v>961</v>
      </c>
      <c r="C408" t="s">
        <v>129</v>
      </c>
      <c r="D408" t="s">
        <v>521</v>
      </c>
      <c r="E408" t="s">
        <v>607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 t="s">
        <v>962</v>
      </c>
      <c r="O408">
        <v>1</v>
      </c>
    </row>
    <row r="409" spans="1:15" x14ac:dyDescent="0.2">
      <c r="A409" t="s">
        <v>530</v>
      </c>
      <c r="B409" t="s">
        <v>469</v>
      </c>
      <c r="C409" t="s">
        <v>115</v>
      </c>
      <c r="D409" t="s">
        <v>469</v>
      </c>
      <c r="E409" t="s">
        <v>239</v>
      </c>
      <c r="F409">
        <v>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1</v>
      </c>
      <c r="M409">
        <v>1</v>
      </c>
      <c r="N409" t="s">
        <v>795</v>
      </c>
      <c r="O409">
        <v>1</v>
      </c>
    </row>
    <row r="410" spans="1:15" x14ac:dyDescent="0.2">
      <c r="A410" t="s">
        <v>554</v>
      </c>
      <c r="B410" t="s">
        <v>115</v>
      </c>
      <c r="C410" t="s">
        <v>558</v>
      </c>
      <c r="D410" t="s">
        <v>213</v>
      </c>
      <c r="E410" t="s">
        <v>233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1</v>
      </c>
      <c r="N410" t="s">
        <v>963</v>
      </c>
      <c r="O410">
        <v>1</v>
      </c>
    </row>
    <row r="411" spans="1:15" x14ac:dyDescent="0.2">
      <c r="A411" t="s">
        <v>482</v>
      </c>
      <c r="B411" t="s">
        <v>233</v>
      </c>
      <c r="C411" t="s">
        <v>484</v>
      </c>
      <c r="D411" t="s">
        <v>107</v>
      </c>
      <c r="E411" t="s">
        <v>239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 t="s">
        <v>923</v>
      </c>
      <c r="O411">
        <v>1</v>
      </c>
    </row>
    <row r="412" spans="1:15" x14ac:dyDescent="0.2">
      <c r="A412" t="s">
        <v>492</v>
      </c>
      <c r="B412" t="s">
        <v>514</v>
      </c>
      <c r="C412" t="s">
        <v>106</v>
      </c>
      <c r="D412" t="s">
        <v>483</v>
      </c>
      <c r="E412" t="s">
        <v>233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1</v>
      </c>
      <c r="N412" t="s">
        <v>964</v>
      </c>
      <c r="O412">
        <v>1</v>
      </c>
    </row>
    <row r="413" spans="1:15" x14ac:dyDescent="0.2">
      <c r="A413" t="s">
        <v>563</v>
      </c>
      <c r="B413" t="s">
        <v>965</v>
      </c>
      <c r="C413" t="s">
        <v>252</v>
      </c>
      <c r="D413" t="s">
        <v>966</v>
      </c>
      <c r="E413" t="s">
        <v>231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 t="s">
        <v>967</v>
      </c>
      <c r="O413">
        <v>1</v>
      </c>
    </row>
    <row r="414" spans="1:15" x14ac:dyDescent="0.2">
      <c r="A414" t="s">
        <v>563</v>
      </c>
      <c r="B414" t="s">
        <v>252</v>
      </c>
      <c r="C414" t="s">
        <v>151</v>
      </c>
      <c r="D414" t="s">
        <v>252</v>
      </c>
      <c r="E414" t="s">
        <v>493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1</v>
      </c>
      <c r="N414" t="s">
        <v>968</v>
      </c>
      <c r="O414">
        <v>1</v>
      </c>
    </row>
    <row r="415" spans="1:15" x14ac:dyDescent="0.2">
      <c r="A415" t="s">
        <v>477</v>
      </c>
      <c r="B415" t="s">
        <v>969</v>
      </c>
      <c r="C415" t="s">
        <v>224</v>
      </c>
      <c r="D415" t="s">
        <v>543</v>
      </c>
      <c r="E415" t="s">
        <v>503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 t="s">
        <v>970</v>
      </c>
      <c r="O415">
        <v>1</v>
      </c>
    </row>
    <row r="416" spans="1:15" x14ac:dyDescent="0.2">
      <c r="A416" t="s">
        <v>563</v>
      </c>
      <c r="B416" t="s">
        <v>133</v>
      </c>
      <c r="C416" t="s">
        <v>252</v>
      </c>
      <c r="D416" t="s">
        <v>296</v>
      </c>
      <c r="E416" t="s">
        <v>239</v>
      </c>
      <c r="F416">
        <v>0</v>
      </c>
      <c r="G416">
        <v>1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 t="s">
        <v>585</v>
      </c>
      <c r="O416">
        <v>1</v>
      </c>
    </row>
    <row r="417" spans="1:15" x14ac:dyDescent="0.2">
      <c r="A417" t="s">
        <v>462</v>
      </c>
      <c r="B417" t="s">
        <v>971</v>
      </c>
      <c r="C417" t="s">
        <v>129</v>
      </c>
      <c r="D417" t="s">
        <v>559</v>
      </c>
      <c r="E417" t="s">
        <v>154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1</v>
      </c>
      <c r="N417" t="s">
        <v>972</v>
      </c>
      <c r="O417">
        <v>1</v>
      </c>
    </row>
    <row r="418" spans="1:15" x14ac:dyDescent="0.2">
      <c r="A418" t="s">
        <v>483</v>
      </c>
      <c r="B418" t="s">
        <v>973</v>
      </c>
      <c r="C418" t="s">
        <v>151</v>
      </c>
      <c r="D418" t="s">
        <v>511</v>
      </c>
      <c r="E418" t="s">
        <v>125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1</v>
      </c>
      <c r="N418" t="s">
        <v>467</v>
      </c>
      <c r="O418">
        <v>1</v>
      </c>
    </row>
    <row r="419" spans="1:15" x14ac:dyDescent="0.2">
      <c r="A419" t="s">
        <v>500</v>
      </c>
      <c r="B419" t="s">
        <v>252</v>
      </c>
      <c r="C419" t="s">
        <v>252</v>
      </c>
      <c r="D419" t="s">
        <v>296</v>
      </c>
      <c r="E419" t="s">
        <v>154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1</v>
      </c>
      <c r="M419">
        <v>1</v>
      </c>
      <c r="N419" t="s">
        <v>974</v>
      </c>
      <c r="O419">
        <v>1</v>
      </c>
    </row>
    <row r="420" spans="1:15" x14ac:dyDescent="0.2">
      <c r="A420" t="s">
        <v>534</v>
      </c>
      <c r="B420" t="s">
        <v>110</v>
      </c>
      <c r="C420" t="s">
        <v>224</v>
      </c>
      <c r="D420" t="s">
        <v>552</v>
      </c>
      <c r="E420" t="s">
        <v>493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0</v>
      </c>
      <c r="N420" t="s">
        <v>975</v>
      </c>
      <c r="O420">
        <v>1</v>
      </c>
    </row>
    <row r="421" spans="1:15" x14ac:dyDescent="0.2">
      <c r="A421" t="s">
        <v>492</v>
      </c>
      <c r="B421" t="s">
        <v>188</v>
      </c>
      <c r="C421" t="s">
        <v>224</v>
      </c>
      <c r="D421" t="s">
        <v>976</v>
      </c>
      <c r="E421" t="s">
        <v>193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 t="s">
        <v>977</v>
      </c>
      <c r="O421">
        <v>1</v>
      </c>
    </row>
    <row r="422" spans="1:15" x14ac:dyDescent="0.2">
      <c r="A422" t="s">
        <v>552</v>
      </c>
      <c r="B422" t="s">
        <v>471</v>
      </c>
      <c r="C422" t="s">
        <v>528</v>
      </c>
      <c r="D422" t="s">
        <v>110</v>
      </c>
      <c r="E422" t="s">
        <v>541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1</v>
      </c>
      <c r="N422" t="s">
        <v>978</v>
      </c>
      <c r="O422">
        <v>1</v>
      </c>
    </row>
    <row r="423" spans="1:15" x14ac:dyDescent="0.2">
      <c r="A423" t="s">
        <v>536</v>
      </c>
      <c r="B423" t="s">
        <v>295</v>
      </c>
      <c r="C423" t="s">
        <v>129</v>
      </c>
      <c r="D423" t="s">
        <v>531</v>
      </c>
      <c r="E423" t="s">
        <v>193</v>
      </c>
      <c r="F423">
        <v>1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1</v>
      </c>
      <c r="N423" t="s">
        <v>979</v>
      </c>
      <c r="O423">
        <v>1</v>
      </c>
    </row>
    <row r="424" spans="1:15" x14ac:dyDescent="0.2">
      <c r="A424" t="s">
        <v>485</v>
      </c>
      <c r="B424" t="s">
        <v>117</v>
      </c>
      <c r="C424" t="s">
        <v>129</v>
      </c>
      <c r="D424" t="s">
        <v>531</v>
      </c>
      <c r="E424" t="s">
        <v>602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1</v>
      </c>
      <c r="L424">
        <v>0</v>
      </c>
      <c r="M424">
        <v>1</v>
      </c>
      <c r="N424" t="s">
        <v>676</v>
      </c>
      <c r="O424">
        <v>1</v>
      </c>
    </row>
    <row r="425" spans="1:15" x14ac:dyDescent="0.2">
      <c r="A425" t="s">
        <v>536</v>
      </c>
      <c r="B425" t="s">
        <v>151</v>
      </c>
      <c r="C425" t="s">
        <v>252</v>
      </c>
      <c r="D425" t="s">
        <v>469</v>
      </c>
      <c r="E425" t="s">
        <v>154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 t="s">
        <v>459</v>
      </c>
      <c r="O425">
        <v>1</v>
      </c>
    </row>
    <row r="426" spans="1:15" x14ac:dyDescent="0.2">
      <c r="A426" t="s">
        <v>514</v>
      </c>
      <c r="B426" t="s">
        <v>217</v>
      </c>
      <c r="C426" t="s">
        <v>252</v>
      </c>
      <c r="D426" t="s">
        <v>464</v>
      </c>
      <c r="E426" t="s">
        <v>92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 t="s">
        <v>980</v>
      </c>
      <c r="O426">
        <v>1</v>
      </c>
    </row>
    <row r="427" spans="1:15" x14ac:dyDescent="0.2">
      <c r="A427" t="s">
        <v>607</v>
      </c>
      <c r="B427" t="s">
        <v>110</v>
      </c>
      <c r="C427" t="s">
        <v>224</v>
      </c>
      <c r="D427" t="s">
        <v>206</v>
      </c>
      <c r="E427" t="s">
        <v>233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0</v>
      </c>
      <c r="N427" t="s">
        <v>981</v>
      </c>
      <c r="O427">
        <v>1</v>
      </c>
    </row>
    <row r="428" spans="1:15" x14ac:dyDescent="0.2">
      <c r="A428" t="s">
        <v>257</v>
      </c>
      <c r="B428" t="s">
        <v>585</v>
      </c>
      <c r="C428" t="s">
        <v>307</v>
      </c>
      <c r="D428" t="s">
        <v>733</v>
      </c>
      <c r="E428" t="s">
        <v>307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0</v>
      </c>
      <c r="N428" t="s">
        <v>573</v>
      </c>
      <c r="O428">
        <v>1</v>
      </c>
    </row>
    <row r="429" spans="1:15" x14ac:dyDescent="0.2">
      <c r="A429" t="s">
        <v>578</v>
      </c>
      <c r="B429" t="s">
        <v>596</v>
      </c>
      <c r="C429" t="s">
        <v>224</v>
      </c>
      <c r="D429" t="s">
        <v>262</v>
      </c>
      <c r="E429" t="s">
        <v>154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0</v>
      </c>
      <c r="N429" t="s">
        <v>982</v>
      </c>
      <c r="O429">
        <v>1</v>
      </c>
    </row>
    <row r="430" spans="1:15" x14ac:dyDescent="0.2">
      <c r="A430" t="s">
        <v>493</v>
      </c>
      <c r="B430" t="s">
        <v>154</v>
      </c>
      <c r="C430" t="s">
        <v>296</v>
      </c>
      <c r="D430" t="s">
        <v>106</v>
      </c>
      <c r="E430" t="s">
        <v>255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1</v>
      </c>
      <c r="N430" t="s">
        <v>275</v>
      </c>
      <c r="O430">
        <v>1</v>
      </c>
    </row>
    <row r="431" spans="1:15" x14ac:dyDescent="0.2">
      <c r="A431" t="s">
        <v>517</v>
      </c>
      <c r="B431" t="s">
        <v>484</v>
      </c>
      <c r="C431" t="s">
        <v>503</v>
      </c>
      <c r="D431" t="s">
        <v>307</v>
      </c>
      <c r="E431" t="s">
        <v>133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1</v>
      </c>
      <c r="N431" t="s">
        <v>983</v>
      </c>
      <c r="O431">
        <v>1</v>
      </c>
    </row>
    <row r="432" spans="1:15" x14ac:dyDescent="0.2">
      <c r="A432" t="s">
        <v>526</v>
      </c>
      <c r="B432" t="s">
        <v>462</v>
      </c>
      <c r="C432" t="s">
        <v>484</v>
      </c>
      <c r="D432" t="s">
        <v>175</v>
      </c>
      <c r="E432" t="s">
        <v>460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1</v>
      </c>
      <c r="N432" t="s">
        <v>984</v>
      </c>
      <c r="O432">
        <v>1</v>
      </c>
    </row>
    <row r="433" spans="1:15" x14ac:dyDescent="0.2">
      <c r="A433" t="s">
        <v>492</v>
      </c>
      <c r="B433" t="s">
        <v>511</v>
      </c>
      <c r="C433" t="s">
        <v>252</v>
      </c>
      <c r="D433" t="s">
        <v>480</v>
      </c>
      <c r="E433" t="s">
        <v>493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1</v>
      </c>
      <c r="N433" t="s">
        <v>985</v>
      </c>
      <c r="O433">
        <v>1</v>
      </c>
    </row>
    <row r="434" spans="1:15" x14ac:dyDescent="0.2">
      <c r="A434" t="s">
        <v>554</v>
      </c>
      <c r="B434" t="s">
        <v>528</v>
      </c>
      <c r="C434" t="s">
        <v>115</v>
      </c>
      <c r="D434" t="s">
        <v>213</v>
      </c>
      <c r="E434" t="s">
        <v>154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1</v>
      </c>
      <c r="N434" t="s">
        <v>986</v>
      </c>
      <c r="O434">
        <v>1</v>
      </c>
    </row>
    <row r="435" spans="1:15" x14ac:dyDescent="0.2">
      <c r="A435" t="s">
        <v>495</v>
      </c>
      <c r="B435" t="s">
        <v>469</v>
      </c>
      <c r="C435" t="s">
        <v>307</v>
      </c>
      <c r="D435" t="s">
        <v>469</v>
      </c>
      <c r="E435" t="s">
        <v>233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1</v>
      </c>
      <c r="N435" t="s">
        <v>987</v>
      </c>
      <c r="O435">
        <v>1</v>
      </c>
    </row>
    <row r="436" spans="1:15" x14ac:dyDescent="0.2">
      <c r="A436" t="s">
        <v>625</v>
      </c>
      <c r="B436" t="s">
        <v>477</v>
      </c>
      <c r="C436" t="s">
        <v>252</v>
      </c>
      <c r="D436" t="s">
        <v>250</v>
      </c>
      <c r="E436" t="s">
        <v>493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1</v>
      </c>
      <c r="N436" t="s">
        <v>988</v>
      </c>
      <c r="O436">
        <v>1</v>
      </c>
    </row>
    <row r="437" spans="1:15" x14ac:dyDescent="0.2">
      <c r="A437" t="s">
        <v>493</v>
      </c>
      <c r="B437" t="s">
        <v>989</v>
      </c>
      <c r="C437" t="s">
        <v>151</v>
      </c>
      <c r="D437" t="s">
        <v>458</v>
      </c>
      <c r="E437" t="s">
        <v>233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 t="s">
        <v>990</v>
      </c>
      <c r="O437">
        <v>1</v>
      </c>
    </row>
    <row r="438" spans="1:15" x14ac:dyDescent="0.2">
      <c r="A438" t="s">
        <v>530</v>
      </c>
      <c r="B438" t="s">
        <v>528</v>
      </c>
      <c r="C438" t="s">
        <v>224</v>
      </c>
      <c r="D438" t="s">
        <v>110</v>
      </c>
      <c r="E438" t="s">
        <v>239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</v>
      </c>
      <c r="M438">
        <v>0</v>
      </c>
      <c r="N438" t="s">
        <v>991</v>
      </c>
      <c r="O438">
        <v>1</v>
      </c>
    </row>
    <row r="439" spans="1:15" x14ac:dyDescent="0.2">
      <c r="A439" t="s">
        <v>554</v>
      </c>
      <c r="B439" t="s">
        <v>81</v>
      </c>
      <c r="C439" t="s">
        <v>151</v>
      </c>
      <c r="D439" t="s">
        <v>81</v>
      </c>
      <c r="E439" t="s">
        <v>460</v>
      </c>
      <c r="F439">
        <v>0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1</v>
      </c>
      <c r="N439" t="s">
        <v>992</v>
      </c>
      <c r="O439">
        <v>1</v>
      </c>
    </row>
    <row r="440" spans="1:15" x14ac:dyDescent="0.2">
      <c r="A440" t="s">
        <v>493</v>
      </c>
      <c r="B440" t="s">
        <v>469</v>
      </c>
      <c r="C440" t="s">
        <v>151</v>
      </c>
      <c r="D440" t="s">
        <v>469</v>
      </c>
      <c r="E440" t="s">
        <v>493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1</v>
      </c>
      <c r="N440" t="s">
        <v>993</v>
      </c>
      <c r="O440">
        <v>1</v>
      </c>
    </row>
    <row r="441" spans="1:15" x14ac:dyDescent="0.2">
      <c r="A441" t="s">
        <v>519</v>
      </c>
      <c r="B441" t="s">
        <v>134</v>
      </c>
      <c r="C441" t="s">
        <v>252</v>
      </c>
      <c r="D441" t="s">
        <v>106</v>
      </c>
      <c r="E441" t="s">
        <v>106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1</v>
      </c>
      <c r="N441" t="s">
        <v>994</v>
      </c>
      <c r="O441">
        <v>1</v>
      </c>
    </row>
    <row r="442" spans="1:15" x14ac:dyDescent="0.2">
      <c r="A442" t="s">
        <v>492</v>
      </c>
      <c r="B442" t="s">
        <v>617</v>
      </c>
      <c r="C442" t="s">
        <v>129</v>
      </c>
      <c r="D442" t="s">
        <v>803</v>
      </c>
      <c r="E442" t="s">
        <v>233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0</v>
      </c>
      <c r="N442" t="s">
        <v>995</v>
      </c>
      <c r="O442">
        <v>1</v>
      </c>
    </row>
    <row r="443" spans="1:15" x14ac:dyDescent="0.2">
      <c r="A443" t="s">
        <v>499</v>
      </c>
      <c r="B443" t="s">
        <v>115</v>
      </c>
      <c r="C443" t="s">
        <v>125</v>
      </c>
      <c r="D443" t="s">
        <v>469</v>
      </c>
      <c r="E443" t="s">
        <v>233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1</v>
      </c>
      <c r="N443" t="s">
        <v>996</v>
      </c>
      <c r="O443">
        <v>1</v>
      </c>
    </row>
    <row r="444" spans="1:15" x14ac:dyDescent="0.2">
      <c r="A444" t="s">
        <v>541</v>
      </c>
      <c r="B444" t="s">
        <v>969</v>
      </c>
      <c r="C444" t="s">
        <v>252</v>
      </c>
      <c r="D444" t="s">
        <v>997</v>
      </c>
      <c r="E444" t="s">
        <v>493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0</v>
      </c>
      <c r="N444" t="s">
        <v>975</v>
      </c>
      <c r="O444">
        <v>1</v>
      </c>
    </row>
    <row r="445" spans="1:15" x14ac:dyDescent="0.2">
      <c r="A445" t="s">
        <v>514</v>
      </c>
      <c r="B445" t="s">
        <v>558</v>
      </c>
      <c r="C445" t="s">
        <v>129</v>
      </c>
      <c r="D445" t="s">
        <v>536</v>
      </c>
      <c r="E445" t="s">
        <v>233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  <c r="N445" t="s">
        <v>998</v>
      </c>
      <c r="O445">
        <v>1</v>
      </c>
    </row>
    <row r="446" spans="1:15" x14ac:dyDescent="0.2">
      <c r="A446" t="s">
        <v>554</v>
      </c>
      <c r="B446" t="s">
        <v>469</v>
      </c>
      <c r="C446" t="s">
        <v>252</v>
      </c>
      <c r="D446" t="s">
        <v>469</v>
      </c>
      <c r="E446" t="s">
        <v>257</v>
      </c>
      <c r="F446">
        <v>0</v>
      </c>
      <c r="G446">
        <v>1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1</v>
      </c>
      <c r="N446" t="s">
        <v>999</v>
      </c>
      <c r="O446">
        <v>1</v>
      </c>
    </row>
    <row r="447" spans="1:15" x14ac:dyDescent="0.2">
      <c r="A447" t="s">
        <v>514</v>
      </c>
      <c r="B447" t="s">
        <v>115</v>
      </c>
      <c r="C447" t="s">
        <v>151</v>
      </c>
      <c r="D447" t="s">
        <v>500</v>
      </c>
      <c r="E447" t="s">
        <v>493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1</v>
      </c>
      <c r="N447" t="s">
        <v>725</v>
      </c>
      <c r="O447">
        <v>1</v>
      </c>
    </row>
    <row r="448" spans="1:15" x14ac:dyDescent="0.2">
      <c r="A448" t="s">
        <v>492</v>
      </c>
      <c r="B448" t="s">
        <v>854</v>
      </c>
      <c r="C448" t="s">
        <v>252</v>
      </c>
      <c r="D448" t="s">
        <v>503</v>
      </c>
      <c r="E448" t="s">
        <v>460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0</v>
      </c>
      <c r="N448" t="s">
        <v>955</v>
      </c>
      <c r="O448">
        <v>1</v>
      </c>
    </row>
    <row r="449" spans="1:15" x14ac:dyDescent="0.2">
      <c r="A449" t="s">
        <v>536</v>
      </c>
      <c r="B449" t="s">
        <v>259</v>
      </c>
      <c r="C449" t="s">
        <v>213</v>
      </c>
      <c r="D449" t="s">
        <v>252</v>
      </c>
      <c r="E449" t="s">
        <v>193</v>
      </c>
      <c r="F449">
        <v>1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0</v>
      </c>
      <c r="N449" t="s">
        <v>845</v>
      </c>
      <c r="O449">
        <v>1</v>
      </c>
    </row>
    <row r="450" spans="1:15" x14ac:dyDescent="0.2">
      <c r="A450" t="s">
        <v>530</v>
      </c>
      <c r="B450" t="s">
        <v>466</v>
      </c>
      <c r="C450" t="s">
        <v>252</v>
      </c>
      <c r="D450" t="s">
        <v>552</v>
      </c>
      <c r="E450" t="s">
        <v>154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 t="s">
        <v>740</v>
      </c>
      <c r="O450">
        <v>1</v>
      </c>
    </row>
    <row r="451" spans="1:15" x14ac:dyDescent="0.2">
      <c r="A451" t="s">
        <v>482</v>
      </c>
      <c r="B451" t="s">
        <v>244</v>
      </c>
      <c r="C451" t="s">
        <v>252</v>
      </c>
      <c r="D451" t="s">
        <v>231</v>
      </c>
      <c r="E451" t="s">
        <v>154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1</v>
      </c>
      <c r="N451" t="s">
        <v>821</v>
      </c>
      <c r="O451">
        <v>1</v>
      </c>
    </row>
    <row r="452" spans="1:15" x14ac:dyDescent="0.2">
      <c r="A452" t="s">
        <v>530</v>
      </c>
      <c r="B452" t="s">
        <v>261</v>
      </c>
      <c r="C452" t="s">
        <v>252</v>
      </c>
      <c r="D452" t="s">
        <v>728</v>
      </c>
      <c r="E452" t="s">
        <v>154</v>
      </c>
      <c r="F452">
        <v>1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  <c r="N452" t="s">
        <v>506</v>
      </c>
      <c r="O452">
        <v>1</v>
      </c>
    </row>
    <row r="453" spans="1:15" x14ac:dyDescent="0.2">
      <c r="A453" t="s">
        <v>519</v>
      </c>
      <c r="B453" t="s">
        <v>466</v>
      </c>
      <c r="C453" t="s">
        <v>151</v>
      </c>
      <c r="D453" t="s">
        <v>1000</v>
      </c>
      <c r="E453" t="s">
        <v>536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 t="s">
        <v>1001</v>
      </c>
      <c r="O453">
        <v>1</v>
      </c>
    </row>
    <row r="454" spans="1:15" x14ac:dyDescent="0.2">
      <c r="A454" t="s">
        <v>534</v>
      </c>
      <c r="B454" t="s">
        <v>259</v>
      </c>
      <c r="C454" t="s">
        <v>213</v>
      </c>
      <c r="D454" t="s">
        <v>931</v>
      </c>
      <c r="E454" t="s">
        <v>493</v>
      </c>
      <c r="F454">
        <v>1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1</v>
      </c>
      <c r="N454" t="s">
        <v>191</v>
      </c>
      <c r="O454">
        <v>1</v>
      </c>
    </row>
    <row r="455" spans="1:15" x14ac:dyDescent="0.2">
      <c r="A455" t="s">
        <v>519</v>
      </c>
      <c r="B455" t="s">
        <v>512</v>
      </c>
      <c r="C455" t="s">
        <v>224</v>
      </c>
      <c r="D455" t="s">
        <v>117</v>
      </c>
      <c r="E455" t="s">
        <v>133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0</v>
      </c>
      <c r="M455">
        <v>1</v>
      </c>
      <c r="N455" t="s">
        <v>1002</v>
      </c>
      <c r="O455">
        <v>1</v>
      </c>
    </row>
    <row r="456" spans="1:15" x14ac:dyDescent="0.2">
      <c r="A456" t="s">
        <v>492</v>
      </c>
      <c r="B456" t="s">
        <v>469</v>
      </c>
      <c r="C456" t="s">
        <v>252</v>
      </c>
      <c r="D456" t="s">
        <v>469</v>
      </c>
      <c r="E456" t="s">
        <v>536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1</v>
      </c>
      <c r="M456">
        <v>0</v>
      </c>
      <c r="N456" t="s">
        <v>1003</v>
      </c>
      <c r="O456">
        <v>1</v>
      </c>
    </row>
    <row r="457" spans="1:15" x14ac:dyDescent="0.2">
      <c r="A457" t="s">
        <v>523</v>
      </c>
      <c r="B457" t="s">
        <v>558</v>
      </c>
      <c r="C457" t="s">
        <v>224</v>
      </c>
      <c r="D457" t="s">
        <v>485</v>
      </c>
      <c r="E457" t="s">
        <v>233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1</v>
      </c>
      <c r="L457">
        <v>0</v>
      </c>
      <c r="M457">
        <v>1</v>
      </c>
      <c r="N457" t="s">
        <v>1004</v>
      </c>
      <c r="O457">
        <v>1</v>
      </c>
    </row>
    <row r="458" spans="1:15" x14ac:dyDescent="0.2">
      <c r="A458" t="s">
        <v>526</v>
      </c>
      <c r="B458" t="s">
        <v>469</v>
      </c>
      <c r="C458" t="s">
        <v>503</v>
      </c>
      <c r="D458" t="s">
        <v>469</v>
      </c>
      <c r="E458" t="s">
        <v>511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 t="s">
        <v>1005</v>
      </c>
      <c r="O458">
        <v>1</v>
      </c>
    </row>
    <row r="459" spans="1:15" x14ac:dyDescent="0.2">
      <c r="A459" t="s">
        <v>559</v>
      </c>
      <c r="B459" t="s">
        <v>133</v>
      </c>
      <c r="C459" t="s">
        <v>129</v>
      </c>
      <c r="D459" t="s">
        <v>198</v>
      </c>
      <c r="E459" t="s">
        <v>92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 t="s">
        <v>1006</v>
      </c>
      <c r="O459">
        <v>1</v>
      </c>
    </row>
    <row r="460" spans="1:15" x14ac:dyDescent="0.2">
      <c r="A460" t="s">
        <v>536</v>
      </c>
      <c r="B460" t="s">
        <v>484</v>
      </c>
      <c r="C460" t="s">
        <v>252</v>
      </c>
      <c r="D460" t="s">
        <v>279</v>
      </c>
      <c r="E460" t="s">
        <v>503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0</v>
      </c>
      <c r="N460" t="s">
        <v>1007</v>
      </c>
      <c r="O460">
        <v>1</v>
      </c>
    </row>
    <row r="461" spans="1:15" x14ac:dyDescent="0.2">
      <c r="A461" t="s">
        <v>578</v>
      </c>
      <c r="B461" t="s">
        <v>1008</v>
      </c>
      <c r="C461" t="s">
        <v>213</v>
      </c>
      <c r="D461" t="s">
        <v>166</v>
      </c>
      <c r="E461" t="s">
        <v>512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1</v>
      </c>
      <c r="N461" t="s">
        <v>1009</v>
      </c>
      <c r="O461">
        <v>1</v>
      </c>
    </row>
    <row r="462" spans="1:15" x14ac:dyDescent="0.2">
      <c r="A462" t="s">
        <v>519</v>
      </c>
      <c r="B462" t="s">
        <v>252</v>
      </c>
      <c r="C462" t="s">
        <v>224</v>
      </c>
      <c r="D462" t="s">
        <v>528</v>
      </c>
      <c r="E462" t="s">
        <v>154</v>
      </c>
      <c r="F462">
        <v>0</v>
      </c>
      <c r="G462">
        <v>1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 t="s">
        <v>1010</v>
      </c>
      <c r="O462">
        <v>1</v>
      </c>
    </row>
    <row r="463" spans="1:15" x14ac:dyDescent="0.2">
      <c r="A463" t="s">
        <v>253</v>
      </c>
      <c r="B463" t="s">
        <v>234</v>
      </c>
      <c r="C463" t="s">
        <v>129</v>
      </c>
      <c r="D463" t="s">
        <v>90</v>
      </c>
      <c r="E463" t="s">
        <v>255</v>
      </c>
      <c r="F463">
        <v>0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0</v>
      </c>
      <c r="N463" t="s">
        <v>1011</v>
      </c>
      <c r="O463">
        <v>1</v>
      </c>
    </row>
    <row r="464" spans="1:15" x14ac:dyDescent="0.2">
      <c r="A464" t="s">
        <v>471</v>
      </c>
      <c r="B464" t="s">
        <v>469</v>
      </c>
      <c r="C464" t="s">
        <v>224</v>
      </c>
      <c r="D464" t="s">
        <v>469</v>
      </c>
      <c r="E464" t="s">
        <v>92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0</v>
      </c>
      <c r="N464" t="s">
        <v>1012</v>
      </c>
      <c r="O464">
        <v>1</v>
      </c>
    </row>
    <row r="465" spans="1:15" x14ac:dyDescent="0.2">
      <c r="A465" t="s">
        <v>477</v>
      </c>
      <c r="B465" t="s">
        <v>1013</v>
      </c>
      <c r="C465" t="s">
        <v>307</v>
      </c>
      <c r="D465" t="s">
        <v>154</v>
      </c>
      <c r="E465" t="s">
        <v>517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1</v>
      </c>
      <c r="M465">
        <v>0</v>
      </c>
      <c r="N465" t="s">
        <v>1014</v>
      </c>
      <c r="O465">
        <v>1</v>
      </c>
    </row>
    <row r="466" spans="1:15" x14ac:dyDescent="0.2">
      <c r="A466" t="s">
        <v>526</v>
      </c>
      <c r="B466" t="s">
        <v>224</v>
      </c>
      <c r="C466" t="s">
        <v>252</v>
      </c>
      <c r="D466" t="s">
        <v>129</v>
      </c>
      <c r="E466" t="s">
        <v>92</v>
      </c>
      <c r="F466">
        <v>0</v>
      </c>
      <c r="G466">
        <v>1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1</v>
      </c>
      <c r="N466" t="s">
        <v>395</v>
      </c>
      <c r="O466">
        <v>1</v>
      </c>
    </row>
    <row r="467" spans="1:15" x14ac:dyDescent="0.2">
      <c r="A467" t="s">
        <v>517</v>
      </c>
      <c r="B467" t="s">
        <v>484</v>
      </c>
      <c r="C467" t="s">
        <v>115</v>
      </c>
      <c r="D467" t="s">
        <v>469</v>
      </c>
      <c r="E467" t="s">
        <v>295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1</v>
      </c>
      <c r="N467" t="s">
        <v>1015</v>
      </c>
      <c r="O467">
        <v>1</v>
      </c>
    </row>
    <row r="468" spans="1:15" x14ac:dyDescent="0.2">
      <c r="A468" t="s">
        <v>632</v>
      </c>
      <c r="B468" t="s">
        <v>161</v>
      </c>
      <c r="C468" t="s">
        <v>129</v>
      </c>
      <c r="D468" t="s">
        <v>523</v>
      </c>
      <c r="E468" t="s">
        <v>133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 t="s">
        <v>1016</v>
      </c>
      <c r="O468">
        <v>1</v>
      </c>
    </row>
    <row r="469" spans="1:15" x14ac:dyDescent="0.2">
      <c r="A469" t="s">
        <v>526</v>
      </c>
      <c r="B469" t="s">
        <v>252</v>
      </c>
      <c r="C469" t="s">
        <v>252</v>
      </c>
      <c r="D469" t="s">
        <v>213</v>
      </c>
      <c r="E469" t="s">
        <v>493</v>
      </c>
      <c r="F469">
        <v>1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1</v>
      </c>
      <c r="N469" t="s">
        <v>1017</v>
      </c>
      <c r="O469">
        <v>1</v>
      </c>
    </row>
    <row r="470" spans="1:15" x14ac:dyDescent="0.2">
      <c r="A470" t="s">
        <v>495</v>
      </c>
      <c r="B470" t="s">
        <v>628</v>
      </c>
      <c r="C470" t="s">
        <v>252</v>
      </c>
      <c r="D470" t="s">
        <v>229</v>
      </c>
      <c r="E470" t="s">
        <v>154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1</v>
      </c>
      <c r="N470" t="s">
        <v>1018</v>
      </c>
      <c r="O470">
        <v>1</v>
      </c>
    </row>
    <row r="471" spans="1:15" x14ac:dyDescent="0.2">
      <c r="A471" t="s">
        <v>514</v>
      </c>
      <c r="B471" t="s">
        <v>255</v>
      </c>
      <c r="C471" t="s">
        <v>252</v>
      </c>
      <c r="D471" t="s">
        <v>145</v>
      </c>
      <c r="E471" t="s">
        <v>558</v>
      </c>
      <c r="F471">
        <v>0</v>
      </c>
      <c r="G471">
        <v>1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0</v>
      </c>
      <c r="N471" t="s">
        <v>783</v>
      </c>
      <c r="O471">
        <v>1</v>
      </c>
    </row>
    <row r="472" spans="1:15" x14ac:dyDescent="0.2">
      <c r="A472" t="s">
        <v>582</v>
      </c>
      <c r="B472" t="s">
        <v>129</v>
      </c>
      <c r="C472" t="s">
        <v>503</v>
      </c>
      <c r="D472" t="s">
        <v>224</v>
      </c>
      <c r="E472" t="s">
        <v>239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1</v>
      </c>
      <c r="M472">
        <v>1</v>
      </c>
      <c r="N472" t="s">
        <v>770</v>
      </c>
      <c r="O472">
        <v>1</v>
      </c>
    </row>
    <row r="473" spans="1:15" x14ac:dyDescent="0.2">
      <c r="A473" t="s">
        <v>492</v>
      </c>
      <c r="B473" t="s">
        <v>483</v>
      </c>
      <c r="C473" t="s">
        <v>151</v>
      </c>
      <c r="D473" t="s">
        <v>250</v>
      </c>
      <c r="E473" t="s">
        <v>255</v>
      </c>
      <c r="F473">
        <v>1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  <c r="N473" t="s">
        <v>1019</v>
      </c>
      <c r="O473">
        <v>1</v>
      </c>
    </row>
    <row r="474" spans="1:15" x14ac:dyDescent="0.2">
      <c r="A474" t="s">
        <v>458</v>
      </c>
      <c r="B474" t="s">
        <v>231</v>
      </c>
      <c r="C474" t="s">
        <v>493</v>
      </c>
      <c r="D474" t="s">
        <v>251</v>
      </c>
      <c r="E474" t="s">
        <v>81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1</v>
      </c>
      <c r="N474" t="s">
        <v>1020</v>
      </c>
      <c r="O474">
        <v>1</v>
      </c>
    </row>
    <row r="475" spans="1:15" x14ac:dyDescent="0.2">
      <c r="A475" t="s">
        <v>536</v>
      </c>
      <c r="B475" t="s">
        <v>738</v>
      </c>
      <c r="C475" t="s">
        <v>224</v>
      </c>
      <c r="D475" t="s">
        <v>175</v>
      </c>
      <c r="E475" t="s">
        <v>482</v>
      </c>
      <c r="F475">
        <v>1</v>
      </c>
      <c r="G475">
        <v>0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  <c r="N475" t="s">
        <v>1021</v>
      </c>
      <c r="O475">
        <v>1</v>
      </c>
    </row>
    <row r="476" spans="1:15" x14ac:dyDescent="0.2">
      <c r="A476" t="s">
        <v>526</v>
      </c>
      <c r="B476" t="s">
        <v>469</v>
      </c>
      <c r="C476" t="s">
        <v>115</v>
      </c>
      <c r="D476" t="s">
        <v>514</v>
      </c>
      <c r="E476" t="s">
        <v>154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1</v>
      </c>
      <c r="N476" t="s">
        <v>1022</v>
      </c>
      <c r="O476">
        <v>1</v>
      </c>
    </row>
    <row r="477" spans="1:15" x14ac:dyDescent="0.2">
      <c r="A477" t="s">
        <v>514</v>
      </c>
      <c r="B477" t="s">
        <v>528</v>
      </c>
      <c r="C477" t="s">
        <v>252</v>
      </c>
      <c r="D477" t="s">
        <v>239</v>
      </c>
      <c r="E477" t="s">
        <v>295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1</v>
      </c>
      <c r="N477" t="s">
        <v>939</v>
      </c>
      <c r="O477">
        <v>1</v>
      </c>
    </row>
    <row r="478" spans="1:15" x14ac:dyDescent="0.2">
      <c r="A478" t="s">
        <v>482</v>
      </c>
      <c r="B478" t="s">
        <v>198</v>
      </c>
      <c r="C478" t="s">
        <v>252</v>
      </c>
      <c r="D478" t="s">
        <v>509</v>
      </c>
      <c r="E478" t="s">
        <v>255</v>
      </c>
      <c r="F478">
        <v>1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 t="s">
        <v>1023</v>
      </c>
      <c r="O478">
        <v>1</v>
      </c>
    </row>
    <row r="479" spans="1:15" x14ac:dyDescent="0.2">
      <c r="A479" t="s">
        <v>517</v>
      </c>
      <c r="B479" t="s">
        <v>103</v>
      </c>
      <c r="C479" t="s">
        <v>252</v>
      </c>
      <c r="D479" t="s">
        <v>221</v>
      </c>
      <c r="E479" t="s">
        <v>133</v>
      </c>
      <c r="F479">
        <v>1</v>
      </c>
      <c r="G479">
        <v>0</v>
      </c>
      <c r="H479">
        <v>1</v>
      </c>
      <c r="I479">
        <v>0</v>
      </c>
      <c r="J479">
        <v>1</v>
      </c>
      <c r="K479">
        <v>0</v>
      </c>
      <c r="L479">
        <v>0</v>
      </c>
      <c r="M479">
        <v>1</v>
      </c>
      <c r="N479" t="s">
        <v>1024</v>
      </c>
      <c r="O479">
        <v>1</v>
      </c>
    </row>
    <row r="480" spans="1:15" x14ac:dyDescent="0.2">
      <c r="A480" t="s">
        <v>466</v>
      </c>
      <c r="B480" t="s">
        <v>485</v>
      </c>
      <c r="C480" t="s">
        <v>178</v>
      </c>
      <c r="D480" t="s">
        <v>531</v>
      </c>
      <c r="E480" t="s">
        <v>253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 t="s">
        <v>106</v>
      </c>
      <c r="O480">
        <v>1</v>
      </c>
    </row>
    <row r="481" spans="1:15" x14ac:dyDescent="0.2">
      <c r="A481" t="s">
        <v>473</v>
      </c>
      <c r="B481" t="s">
        <v>103</v>
      </c>
      <c r="C481" t="s">
        <v>224</v>
      </c>
      <c r="D481" t="s">
        <v>115</v>
      </c>
      <c r="E481" t="s">
        <v>233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N481" t="s">
        <v>1025</v>
      </c>
      <c r="O481">
        <v>1</v>
      </c>
    </row>
    <row r="482" spans="1:15" x14ac:dyDescent="0.2">
      <c r="A482" t="s">
        <v>541</v>
      </c>
      <c r="B482" t="s">
        <v>741</v>
      </c>
      <c r="C482" t="s">
        <v>252</v>
      </c>
      <c r="D482" t="s">
        <v>161</v>
      </c>
      <c r="E482" t="s">
        <v>233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1</v>
      </c>
      <c r="N482" t="s">
        <v>1026</v>
      </c>
      <c r="O482">
        <v>1</v>
      </c>
    </row>
    <row r="483" spans="1:15" x14ac:dyDescent="0.2">
      <c r="A483" t="s">
        <v>492</v>
      </c>
      <c r="B483" t="s">
        <v>469</v>
      </c>
      <c r="C483" t="s">
        <v>307</v>
      </c>
      <c r="D483" t="s">
        <v>484</v>
      </c>
      <c r="E483" t="s">
        <v>253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 t="s">
        <v>884</v>
      </c>
      <c r="O483">
        <v>1</v>
      </c>
    </row>
    <row r="484" spans="1:15" x14ac:dyDescent="0.2">
      <c r="A484" t="s">
        <v>536</v>
      </c>
      <c r="B484" t="s">
        <v>514</v>
      </c>
      <c r="C484" t="s">
        <v>252</v>
      </c>
      <c r="D484" t="s">
        <v>115</v>
      </c>
      <c r="E484" t="s">
        <v>103</v>
      </c>
      <c r="F484">
        <v>1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1</v>
      </c>
      <c r="M484">
        <v>0</v>
      </c>
      <c r="N484" t="s">
        <v>1027</v>
      </c>
      <c r="O484">
        <v>1</v>
      </c>
    </row>
    <row r="485" spans="1:15" x14ac:dyDescent="0.2">
      <c r="A485" t="s">
        <v>466</v>
      </c>
      <c r="B485" t="s">
        <v>469</v>
      </c>
      <c r="C485" t="s">
        <v>252</v>
      </c>
      <c r="D485" t="s">
        <v>469</v>
      </c>
      <c r="E485" t="s">
        <v>531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  <c r="N485" t="s">
        <v>1028</v>
      </c>
      <c r="O485">
        <v>1</v>
      </c>
    </row>
    <row r="486" spans="1:15" x14ac:dyDescent="0.2">
      <c r="A486" t="s">
        <v>559</v>
      </c>
      <c r="B486" t="s">
        <v>544</v>
      </c>
      <c r="C486" t="s">
        <v>307</v>
      </c>
      <c r="D486" t="s">
        <v>578</v>
      </c>
      <c r="E486" t="s">
        <v>125</v>
      </c>
      <c r="F486">
        <v>0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1</v>
      </c>
      <c r="N486" t="s">
        <v>1029</v>
      </c>
      <c r="O486">
        <v>1</v>
      </c>
    </row>
    <row r="487" spans="1:15" x14ac:dyDescent="0.2">
      <c r="A487" t="s">
        <v>602</v>
      </c>
      <c r="B487" t="s">
        <v>188</v>
      </c>
      <c r="C487" t="s">
        <v>151</v>
      </c>
      <c r="D487" t="s">
        <v>503</v>
      </c>
      <c r="E487" t="s">
        <v>133</v>
      </c>
      <c r="F487">
        <v>0</v>
      </c>
      <c r="G487">
        <v>1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 t="s">
        <v>1030</v>
      </c>
      <c r="O487">
        <v>1</v>
      </c>
    </row>
    <row r="488" spans="1:15" x14ac:dyDescent="0.2">
      <c r="A488" t="s">
        <v>578</v>
      </c>
      <c r="B488" t="s">
        <v>296</v>
      </c>
      <c r="C488" t="s">
        <v>106</v>
      </c>
      <c r="D488" t="s">
        <v>503</v>
      </c>
      <c r="E488" t="s">
        <v>493</v>
      </c>
      <c r="F488">
        <v>0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1</v>
      </c>
      <c r="N488" t="s">
        <v>816</v>
      </c>
      <c r="O488">
        <v>1</v>
      </c>
    </row>
    <row r="489" spans="1:15" x14ac:dyDescent="0.2">
      <c r="A489" t="s">
        <v>517</v>
      </c>
      <c r="B489" t="s">
        <v>106</v>
      </c>
      <c r="C489" t="s">
        <v>213</v>
      </c>
      <c r="D489" t="s">
        <v>213</v>
      </c>
      <c r="E489" t="s">
        <v>512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1</v>
      </c>
      <c r="N489" t="s">
        <v>802</v>
      </c>
      <c r="O489">
        <v>1</v>
      </c>
    </row>
    <row r="490" spans="1:15" x14ac:dyDescent="0.2">
      <c r="A490" t="s">
        <v>482</v>
      </c>
      <c r="B490" t="s">
        <v>296</v>
      </c>
      <c r="C490" t="s">
        <v>252</v>
      </c>
      <c r="D490" t="s">
        <v>133</v>
      </c>
      <c r="E490" t="s">
        <v>154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1</v>
      </c>
      <c r="M490">
        <v>0</v>
      </c>
      <c r="N490" t="s">
        <v>1031</v>
      </c>
      <c r="O490">
        <v>1</v>
      </c>
    </row>
    <row r="491" spans="1:15" x14ac:dyDescent="0.2">
      <c r="A491" t="s">
        <v>499</v>
      </c>
      <c r="B491" t="s">
        <v>93</v>
      </c>
      <c r="C491" t="s">
        <v>115</v>
      </c>
      <c r="D491" t="s">
        <v>195</v>
      </c>
      <c r="E491" t="s">
        <v>193</v>
      </c>
      <c r="F491">
        <v>1</v>
      </c>
      <c r="G491">
        <v>0</v>
      </c>
      <c r="H491">
        <v>1</v>
      </c>
      <c r="I491">
        <v>0</v>
      </c>
      <c r="J491">
        <v>0</v>
      </c>
      <c r="K491">
        <v>1</v>
      </c>
      <c r="L491">
        <v>0</v>
      </c>
      <c r="M491">
        <v>1</v>
      </c>
      <c r="N491" t="s">
        <v>1032</v>
      </c>
      <c r="O491">
        <v>1</v>
      </c>
    </row>
    <row r="492" spans="1:15" x14ac:dyDescent="0.2">
      <c r="A492" t="s">
        <v>462</v>
      </c>
      <c r="B492" t="s">
        <v>193</v>
      </c>
      <c r="C492" t="s">
        <v>151</v>
      </c>
      <c r="D492" t="s">
        <v>695</v>
      </c>
      <c r="E492" t="s">
        <v>493</v>
      </c>
      <c r="F492">
        <v>1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 t="s">
        <v>1033</v>
      </c>
      <c r="O492">
        <v>1</v>
      </c>
    </row>
    <row r="493" spans="1:15" x14ac:dyDescent="0.2">
      <c r="A493" t="s">
        <v>541</v>
      </c>
      <c r="B493" t="s">
        <v>155</v>
      </c>
      <c r="C493" t="s">
        <v>213</v>
      </c>
      <c r="D493" t="s">
        <v>521</v>
      </c>
      <c r="E493" t="s">
        <v>110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 t="s">
        <v>1034</v>
      </c>
      <c r="O493">
        <v>1</v>
      </c>
    </row>
    <row r="494" spans="1:15" x14ac:dyDescent="0.2">
      <c r="A494" t="s">
        <v>521</v>
      </c>
      <c r="B494" t="s">
        <v>232</v>
      </c>
      <c r="C494" t="s">
        <v>558</v>
      </c>
      <c r="D494" t="s">
        <v>503</v>
      </c>
      <c r="E494" t="s">
        <v>493</v>
      </c>
      <c r="F494">
        <v>0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1</v>
      </c>
      <c r="N494" t="s">
        <v>291</v>
      </c>
      <c r="O494">
        <v>1</v>
      </c>
    </row>
    <row r="495" spans="1:15" x14ac:dyDescent="0.2">
      <c r="A495" t="s">
        <v>471</v>
      </c>
      <c r="B495" t="s">
        <v>745</v>
      </c>
      <c r="C495" t="s">
        <v>115</v>
      </c>
      <c r="D495" t="s">
        <v>637</v>
      </c>
      <c r="E495" t="s">
        <v>582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0</v>
      </c>
      <c r="M495">
        <v>1</v>
      </c>
      <c r="N495" t="s">
        <v>974</v>
      </c>
      <c r="O495">
        <v>1</v>
      </c>
    </row>
    <row r="496" spans="1:15" x14ac:dyDescent="0.2">
      <c r="A496" t="s">
        <v>602</v>
      </c>
      <c r="B496" t="s">
        <v>254</v>
      </c>
      <c r="C496" t="s">
        <v>224</v>
      </c>
      <c r="D496" t="s">
        <v>462</v>
      </c>
      <c r="E496" t="s">
        <v>460</v>
      </c>
      <c r="F496">
        <v>1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 t="s">
        <v>1035</v>
      </c>
      <c r="O496">
        <v>1</v>
      </c>
    </row>
    <row r="497" spans="1:15" x14ac:dyDescent="0.2">
      <c r="A497" t="s">
        <v>563</v>
      </c>
      <c r="B497" t="s">
        <v>161</v>
      </c>
      <c r="C497" t="s">
        <v>252</v>
      </c>
      <c r="D497" t="s">
        <v>115</v>
      </c>
      <c r="E497" t="s">
        <v>492</v>
      </c>
      <c r="F497">
        <v>0</v>
      </c>
      <c r="G497">
        <v>1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1</v>
      </c>
      <c r="N497" t="s">
        <v>916</v>
      </c>
      <c r="O497">
        <v>1</v>
      </c>
    </row>
    <row r="498" spans="1:15" x14ac:dyDescent="0.2">
      <c r="A498" t="s">
        <v>632</v>
      </c>
      <c r="B498" t="s">
        <v>255</v>
      </c>
      <c r="C498" t="s">
        <v>151</v>
      </c>
      <c r="D498" t="s">
        <v>558</v>
      </c>
      <c r="E498" t="s">
        <v>255</v>
      </c>
      <c r="F498">
        <v>1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0</v>
      </c>
      <c r="N498" t="s">
        <v>1036</v>
      </c>
      <c r="O498">
        <v>1</v>
      </c>
    </row>
    <row r="499" spans="1:15" x14ac:dyDescent="0.2">
      <c r="A499" t="s">
        <v>530</v>
      </c>
      <c r="B499" t="s">
        <v>484</v>
      </c>
      <c r="C499" t="s">
        <v>133</v>
      </c>
      <c r="D499" t="s">
        <v>233</v>
      </c>
      <c r="E499" t="s">
        <v>231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1</v>
      </c>
      <c r="N499" t="s">
        <v>1037</v>
      </c>
      <c r="O499">
        <v>1</v>
      </c>
    </row>
    <row r="500" spans="1:15" x14ac:dyDescent="0.2">
      <c r="A500" t="s">
        <v>523</v>
      </c>
      <c r="B500" t="s">
        <v>541</v>
      </c>
      <c r="C500" t="s">
        <v>252</v>
      </c>
      <c r="D500" t="s">
        <v>115</v>
      </c>
      <c r="E500" t="s">
        <v>154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1</v>
      </c>
      <c r="L500">
        <v>0</v>
      </c>
      <c r="M500">
        <v>0</v>
      </c>
      <c r="N500" t="s">
        <v>1038</v>
      </c>
      <c r="O500">
        <v>1</v>
      </c>
    </row>
    <row r="501" spans="1:15" x14ac:dyDescent="0.2">
      <c r="A501" t="s">
        <v>482</v>
      </c>
      <c r="B501" t="s">
        <v>125</v>
      </c>
      <c r="C501" t="s">
        <v>252</v>
      </c>
      <c r="D501" t="s">
        <v>106</v>
      </c>
      <c r="E501" t="s">
        <v>295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0</v>
      </c>
      <c r="N501" t="s">
        <v>1039</v>
      </c>
      <c r="O501">
        <v>1</v>
      </c>
    </row>
    <row r="502" spans="1:15" x14ac:dyDescent="0.2">
      <c r="A502" t="s">
        <v>517</v>
      </c>
      <c r="B502" t="s">
        <v>484</v>
      </c>
      <c r="C502" t="s">
        <v>252</v>
      </c>
      <c r="D502" t="s">
        <v>252</v>
      </c>
      <c r="E502" t="s">
        <v>133</v>
      </c>
      <c r="F502">
        <v>0</v>
      </c>
      <c r="G502">
        <v>1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0</v>
      </c>
      <c r="N502" t="s">
        <v>990</v>
      </c>
      <c r="O502">
        <v>1</v>
      </c>
    </row>
    <row r="503" spans="1:15" x14ac:dyDescent="0.2">
      <c r="A503" t="s">
        <v>492</v>
      </c>
      <c r="B503" t="s">
        <v>469</v>
      </c>
      <c r="C503" t="s">
        <v>558</v>
      </c>
      <c r="D503" t="s">
        <v>469</v>
      </c>
      <c r="E503" t="s">
        <v>517</v>
      </c>
      <c r="F503">
        <v>1</v>
      </c>
      <c r="G503">
        <v>0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1</v>
      </c>
      <c r="N503" t="s">
        <v>1040</v>
      </c>
      <c r="O503">
        <v>1</v>
      </c>
    </row>
    <row r="504" spans="1:15" x14ac:dyDescent="0.2">
      <c r="A504" t="s">
        <v>607</v>
      </c>
      <c r="B504" t="s">
        <v>1041</v>
      </c>
      <c r="C504" t="s">
        <v>252</v>
      </c>
      <c r="D504" t="s">
        <v>1042</v>
      </c>
      <c r="E504" t="s">
        <v>255</v>
      </c>
      <c r="F504">
        <v>0</v>
      </c>
      <c r="G504">
        <v>1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0</v>
      </c>
      <c r="N504" t="s">
        <v>1043</v>
      </c>
      <c r="O504">
        <v>1</v>
      </c>
    </row>
    <row r="505" spans="1:15" x14ac:dyDescent="0.2">
      <c r="A505" t="s">
        <v>460</v>
      </c>
      <c r="B505" t="s">
        <v>247</v>
      </c>
      <c r="C505" t="s">
        <v>224</v>
      </c>
      <c r="D505" t="s">
        <v>1044</v>
      </c>
      <c r="E505" t="s">
        <v>493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1</v>
      </c>
      <c r="N505" t="s">
        <v>1045</v>
      </c>
      <c r="O505">
        <v>1</v>
      </c>
    </row>
    <row r="506" spans="1:15" x14ac:dyDescent="0.2">
      <c r="A506" t="s">
        <v>495</v>
      </c>
      <c r="B506" t="s">
        <v>157</v>
      </c>
      <c r="C506" t="s">
        <v>307</v>
      </c>
      <c r="D506" t="s">
        <v>133</v>
      </c>
      <c r="E506" t="s">
        <v>536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1</v>
      </c>
      <c r="N506" t="s">
        <v>1046</v>
      </c>
      <c r="O506">
        <v>1</v>
      </c>
    </row>
    <row r="507" spans="1:15" x14ac:dyDescent="0.2">
      <c r="A507" t="s">
        <v>607</v>
      </c>
      <c r="B507" t="s">
        <v>558</v>
      </c>
      <c r="C507" t="s">
        <v>213</v>
      </c>
      <c r="D507" t="s">
        <v>484</v>
      </c>
      <c r="E507" t="s">
        <v>460</v>
      </c>
      <c r="F507">
        <v>0</v>
      </c>
      <c r="G507">
        <v>1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1</v>
      </c>
      <c r="N507" t="s">
        <v>1047</v>
      </c>
      <c r="O507">
        <v>1</v>
      </c>
    </row>
    <row r="508" spans="1:15" x14ac:dyDescent="0.2">
      <c r="A508" t="s">
        <v>563</v>
      </c>
      <c r="B508" t="s">
        <v>484</v>
      </c>
      <c r="C508" t="s">
        <v>252</v>
      </c>
      <c r="D508" t="s">
        <v>217</v>
      </c>
      <c r="E508" t="s">
        <v>233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0</v>
      </c>
      <c r="N508" t="s">
        <v>756</v>
      </c>
      <c r="O508">
        <v>1</v>
      </c>
    </row>
    <row r="509" spans="1:15" x14ac:dyDescent="0.2">
      <c r="A509" t="s">
        <v>541</v>
      </c>
      <c r="B509" t="s">
        <v>571</v>
      </c>
      <c r="C509" t="s">
        <v>252</v>
      </c>
      <c r="D509" t="s">
        <v>922</v>
      </c>
      <c r="E509" t="s">
        <v>512</v>
      </c>
      <c r="F509">
        <v>0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1</v>
      </c>
      <c r="M509">
        <v>0</v>
      </c>
      <c r="N509" t="s">
        <v>540</v>
      </c>
      <c r="O509">
        <v>1</v>
      </c>
    </row>
    <row r="510" spans="1:15" x14ac:dyDescent="0.2">
      <c r="A510" t="s">
        <v>502</v>
      </c>
      <c r="B510" t="s">
        <v>526</v>
      </c>
      <c r="C510" t="s">
        <v>503</v>
      </c>
      <c r="D510" t="s">
        <v>931</v>
      </c>
      <c r="E510" t="s">
        <v>460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1</v>
      </c>
      <c r="N510" t="s">
        <v>1048</v>
      </c>
      <c r="O510">
        <v>1</v>
      </c>
    </row>
    <row r="511" spans="1:15" x14ac:dyDescent="0.2">
      <c r="A511" t="s">
        <v>541</v>
      </c>
      <c r="B511" t="s">
        <v>1049</v>
      </c>
      <c r="C511" t="s">
        <v>213</v>
      </c>
      <c r="D511" t="s">
        <v>255</v>
      </c>
      <c r="E511" t="s">
        <v>602</v>
      </c>
      <c r="F511">
        <v>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1</v>
      </c>
      <c r="M511">
        <v>0</v>
      </c>
      <c r="N511" t="s">
        <v>831</v>
      </c>
      <c r="O511">
        <v>1</v>
      </c>
    </row>
    <row r="512" spans="1:15" x14ac:dyDescent="0.2">
      <c r="A512" t="s">
        <v>632</v>
      </c>
      <c r="B512" t="s">
        <v>1050</v>
      </c>
      <c r="C512" t="s">
        <v>252</v>
      </c>
      <c r="D512" t="s">
        <v>528</v>
      </c>
      <c r="E512" t="s">
        <v>92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1</v>
      </c>
      <c r="N512" t="s">
        <v>1051</v>
      </c>
      <c r="O512">
        <v>1</v>
      </c>
    </row>
    <row r="513" spans="1:15" x14ac:dyDescent="0.2">
      <c r="A513" t="s">
        <v>492</v>
      </c>
      <c r="B513" t="s">
        <v>469</v>
      </c>
      <c r="C513" t="s">
        <v>484</v>
      </c>
      <c r="D513" t="s">
        <v>469</v>
      </c>
      <c r="E513" t="s">
        <v>92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1</v>
      </c>
      <c r="N513" t="s">
        <v>579</v>
      </c>
      <c r="O513">
        <v>1</v>
      </c>
    </row>
    <row r="514" spans="1:15" x14ac:dyDescent="0.2">
      <c r="A514" t="s">
        <v>526</v>
      </c>
      <c r="B514" t="s">
        <v>115</v>
      </c>
      <c r="C514" t="s">
        <v>213</v>
      </c>
      <c r="D514" t="s">
        <v>531</v>
      </c>
      <c r="E514" t="s">
        <v>253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1</v>
      </c>
      <c r="N514" t="s">
        <v>90</v>
      </c>
      <c r="O514">
        <v>1</v>
      </c>
    </row>
    <row r="515" spans="1:15" x14ac:dyDescent="0.2">
      <c r="A515" t="s">
        <v>521</v>
      </c>
      <c r="B515" t="s">
        <v>1052</v>
      </c>
      <c r="C515" t="s">
        <v>125</v>
      </c>
      <c r="D515" t="s">
        <v>672</v>
      </c>
      <c r="E515" t="s">
        <v>233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1</v>
      </c>
      <c r="M515">
        <v>1</v>
      </c>
      <c r="N515" t="s">
        <v>1053</v>
      </c>
      <c r="O515">
        <v>1</v>
      </c>
    </row>
    <row r="516" spans="1:15" x14ac:dyDescent="0.2">
      <c r="A516" t="s">
        <v>466</v>
      </c>
      <c r="B516" t="s">
        <v>1054</v>
      </c>
      <c r="C516" t="s">
        <v>151</v>
      </c>
      <c r="D516" t="s">
        <v>813</v>
      </c>
      <c r="E516" t="s">
        <v>460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 t="s">
        <v>1055</v>
      </c>
      <c r="O516">
        <v>1</v>
      </c>
    </row>
    <row r="517" spans="1:15" x14ac:dyDescent="0.2">
      <c r="A517" t="s">
        <v>485</v>
      </c>
      <c r="B517" t="s">
        <v>469</v>
      </c>
      <c r="C517" t="s">
        <v>151</v>
      </c>
      <c r="D517" t="s">
        <v>133</v>
      </c>
      <c r="E517" t="s">
        <v>239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 t="s">
        <v>1056</v>
      </c>
      <c r="O517">
        <v>1</v>
      </c>
    </row>
    <row r="518" spans="1:15" x14ac:dyDescent="0.2">
      <c r="A518" t="s">
        <v>554</v>
      </c>
      <c r="B518" t="s">
        <v>252</v>
      </c>
      <c r="C518" t="s">
        <v>129</v>
      </c>
      <c r="D518" t="s">
        <v>296</v>
      </c>
      <c r="E518" t="s">
        <v>133</v>
      </c>
      <c r="F518">
        <v>0</v>
      </c>
      <c r="G518">
        <v>1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0</v>
      </c>
      <c r="N518" t="s">
        <v>1057</v>
      </c>
      <c r="O518">
        <v>1</v>
      </c>
    </row>
    <row r="519" spans="1:15" x14ac:dyDescent="0.2">
      <c r="A519" t="s">
        <v>466</v>
      </c>
      <c r="B519" t="s">
        <v>469</v>
      </c>
      <c r="C519" t="s">
        <v>252</v>
      </c>
      <c r="D519" t="s">
        <v>469</v>
      </c>
      <c r="E519" t="s">
        <v>193</v>
      </c>
      <c r="F519">
        <v>1</v>
      </c>
      <c r="G519">
        <v>0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 t="s">
        <v>654</v>
      </c>
      <c r="O519">
        <v>1</v>
      </c>
    </row>
    <row r="520" spans="1:15" x14ac:dyDescent="0.2">
      <c r="A520" t="s">
        <v>460</v>
      </c>
      <c r="B520" t="s">
        <v>555</v>
      </c>
      <c r="C520" t="s">
        <v>252</v>
      </c>
      <c r="D520" t="s">
        <v>777</v>
      </c>
      <c r="E520" t="s">
        <v>193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1</v>
      </c>
      <c r="L520">
        <v>0</v>
      </c>
      <c r="M520">
        <v>0</v>
      </c>
      <c r="N520" t="s">
        <v>1058</v>
      </c>
      <c r="O520">
        <v>1</v>
      </c>
    </row>
    <row r="521" spans="1:15" x14ac:dyDescent="0.2">
      <c r="A521" t="s">
        <v>541</v>
      </c>
      <c r="B521" t="s">
        <v>1059</v>
      </c>
      <c r="C521" t="s">
        <v>224</v>
      </c>
      <c r="D521" t="s">
        <v>595</v>
      </c>
      <c r="E521" t="s">
        <v>92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 t="s">
        <v>642</v>
      </c>
      <c r="O521">
        <v>1</v>
      </c>
    </row>
    <row r="522" spans="1:15" x14ac:dyDescent="0.2">
      <c r="A522" t="s">
        <v>523</v>
      </c>
      <c r="B522" t="s">
        <v>1060</v>
      </c>
      <c r="C522" t="s">
        <v>503</v>
      </c>
      <c r="D522" t="s">
        <v>250</v>
      </c>
      <c r="E522" t="s">
        <v>483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0</v>
      </c>
      <c r="N522" t="s">
        <v>1061</v>
      </c>
      <c r="O522">
        <v>1</v>
      </c>
    </row>
    <row r="523" spans="1:15" x14ac:dyDescent="0.2">
      <c r="A523" t="s">
        <v>854</v>
      </c>
      <c r="B523" t="s">
        <v>999</v>
      </c>
      <c r="C523" t="s">
        <v>252</v>
      </c>
      <c r="D523" t="s">
        <v>907</v>
      </c>
      <c r="E523" t="s">
        <v>161</v>
      </c>
      <c r="F523">
        <v>0</v>
      </c>
      <c r="G523">
        <v>1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 t="s">
        <v>1062</v>
      </c>
      <c r="O523">
        <v>1</v>
      </c>
    </row>
    <row r="524" spans="1:15" x14ac:dyDescent="0.2">
      <c r="A524" t="s">
        <v>552</v>
      </c>
      <c r="B524" t="s">
        <v>111</v>
      </c>
      <c r="C524" t="s">
        <v>115</v>
      </c>
      <c r="D524" t="s">
        <v>688</v>
      </c>
      <c r="E524" t="s">
        <v>110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1</v>
      </c>
      <c r="N524" t="s">
        <v>1063</v>
      </c>
      <c r="O524">
        <v>1</v>
      </c>
    </row>
    <row r="525" spans="1:15" x14ac:dyDescent="0.2">
      <c r="A525" t="s">
        <v>471</v>
      </c>
      <c r="B525" t="s">
        <v>458</v>
      </c>
      <c r="C525" t="s">
        <v>151</v>
      </c>
      <c r="D525" t="s">
        <v>125</v>
      </c>
      <c r="E525" t="s">
        <v>154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 t="s">
        <v>1064</v>
      </c>
      <c r="O525">
        <v>1</v>
      </c>
    </row>
    <row r="526" spans="1:15" x14ac:dyDescent="0.2">
      <c r="A526" t="s">
        <v>468</v>
      </c>
      <c r="B526" t="s">
        <v>151</v>
      </c>
      <c r="C526" t="s">
        <v>503</v>
      </c>
      <c r="D526" t="s">
        <v>466</v>
      </c>
      <c r="E526" t="s">
        <v>482</v>
      </c>
      <c r="F526">
        <v>1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1</v>
      </c>
      <c r="M526">
        <v>0</v>
      </c>
      <c r="N526" t="s">
        <v>1006</v>
      </c>
      <c r="O526">
        <v>1</v>
      </c>
    </row>
    <row r="527" spans="1:15" x14ac:dyDescent="0.2">
      <c r="A527" t="s">
        <v>468</v>
      </c>
      <c r="B527" t="s">
        <v>796</v>
      </c>
      <c r="C527" t="s">
        <v>558</v>
      </c>
      <c r="D527" t="s">
        <v>196</v>
      </c>
      <c r="E527" t="s">
        <v>133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1</v>
      </c>
      <c r="N527" t="s">
        <v>686</v>
      </c>
      <c r="O527">
        <v>1</v>
      </c>
    </row>
    <row r="528" spans="1:15" x14ac:dyDescent="0.2">
      <c r="A528" t="s">
        <v>541</v>
      </c>
      <c r="B528" t="s">
        <v>221</v>
      </c>
      <c r="C528" t="s">
        <v>129</v>
      </c>
      <c r="D528" t="s">
        <v>466</v>
      </c>
      <c r="E528" t="s">
        <v>193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1</v>
      </c>
      <c r="N528" t="s">
        <v>1065</v>
      </c>
      <c r="O528">
        <v>1</v>
      </c>
    </row>
    <row r="529" spans="1:15" x14ac:dyDescent="0.2">
      <c r="A529" t="s">
        <v>462</v>
      </c>
      <c r="B529" t="s">
        <v>462</v>
      </c>
      <c r="C529" t="s">
        <v>129</v>
      </c>
      <c r="D529" t="s">
        <v>530</v>
      </c>
      <c r="E529" t="s">
        <v>493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1</v>
      </c>
      <c r="N529" t="s">
        <v>955</v>
      </c>
      <c r="O529">
        <v>1</v>
      </c>
    </row>
    <row r="530" spans="1:15" x14ac:dyDescent="0.2">
      <c r="A530" t="s">
        <v>530</v>
      </c>
      <c r="B530" t="s">
        <v>250</v>
      </c>
      <c r="C530" t="s">
        <v>528</v>
      </c>
      <c r="D530" t="s">
        <v>1030</v>
      </c>
      <c r="E530" t="s">
        <v>233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  <c r="N530" t="s">
        <v>1066</v>
      </c>
      <c r="O530">
        <v>1</v>
      </c>
    </row>
    <row r="531" spans="1:15" x14ac:dyDescent="0.2">
      <c r="A531" t="s">
        <v>534</v>
      </c>
      <c r="B531" t="s">
        <v>468</v>
      </c>
      <c r="C531" t="s">
        <v>296</v>
      </c>
      <c r="D531" t="s">
        <v>307</v>
      </c>
      <c r="E531" t="s">
        <v>233</v>
      </c>
      <c r="F531">
        <v>1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1</v>
      </c>
      <c r="N531" t="s">
        <v>831</v>
      </c>
      <c r="O531">
        <v>1</v>
      </c>
    </row>
    <row r="532" spans="1:15" x14ac:dyDescent="0.2">
      <c r="A532" t="s">
        <v>458</v>
      </c>
      <c r="B532" t="s">
        <v>154</v>
      </c>
      <c r="C532" t="s">
        <v>129</v>
      </c>
      <c r="D532" t="s">
        <v>796</v>
      </c>
      <c r="E532" t="s">
        <v>154</v>
      </c>
      <c r="F532">
        <v>0</v>
      </c>
      <c r="G532">
        <v>1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 t="s">
        <v>1067</v>
      </c>
      <c r="O532">
        <v>1</v>
      </c>
    </row>
    <row r="533" spans="1:15" x14ac:dyDescent="0.2">
      <c r="A533" t="s">
        <v>559</v>
      </c>
      <c r="B533" t="s">
        <v>563</v>
      </c>
      <c r="C533" t="s">
        <v>129</v>
      </c>
      <c r="D533" t="s">
        <v>469</v>
      </c>
      <c r="E533" t="s">
        <v>460</v>
      </c>
      <c r="F533">
        <v>0</v>
      </c>
      <c r="G533">
        <v>1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1</v>
      </c>
      <c r="N533" t="s">
        <v>1068</v>
      </c>
      <c r="O533">
        <v>1</v>
      </c>
    </row>
    <row r="534" spans="1:15" x14ac:dyDescent="0.2">
      <c r="A534" t="s">
        <v>492</v>
      </c>
      <c r="B534" t="s">
        <v>1069</v>
      </c>
      <c r="C534" t="s">
        <v>252</v>
      </c>
      <c r="D534" t="s">
        <v>268</v>
      </c>
      <c r="E534" t="s">
        <v>536</v>
      </c>
      <c r="F534">
        <v>1</v>
      </c>
      <c r="G534">
        <v>0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 t="s">
        <v>1070</v>
      </c>
      <c r="O534">
        <v>1</v>
      </c>
    </row>
    <row r="535" spans="1:15" x14ac:dyDescent="0.2">
      <c r="A535" t="s">
        <v>530</v>
      </c>
      <c r="B535" t="s">
        <v>247</v>
      </c>
      <c r="C535" t="s">
        <v>224</v>
      </c>
      <c r="D535" t="s">
        <v>750</v>
      </c>
      <c r="E535" t="s">
        <v>512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1</v>
      </c>
      <c r="M535">
        <v>0</v>
      </c>
      <c r="N535" t="s">
        <v>927</v>
      </c>
      <c r="O535">
        <v>1</v>
      </c>
    </row>
    <row r="536" spans="1:15" x14ac:dyDescent="0.2">
      <c r="A536" t="s">
        <v>295</v>
      </c>
      <c r="B536" t="s">
        <v>247</v>
      </c>
      <c r="C536" t="s">
        <v>252</v>
      </c>
      <c r="D536" t="s">
        <v>559</v>
      </c>
      <c r="E536" t="s">
        <v>255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1</v>
      </c>
      <c r="N536" t="s">
        <v>1071</v>
      </c>
      <c r="O536">
        <v>1</v>
      </c>
    </row>
    <row r="537" spans="1:15" x14ac:dyDescent="0.2">
      <c r="A537" t="s">
        <v>502</v>
      </c>
      <c r="B537" t="s">
        <v>224</v>
      </c>
      <c r="C537" t="s">
        <v>307</v>
      </c>
      <c r="D537" t="s">
        <v>469</v>
      </c>
      <c r="E537" t="s">
        <v>154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1</v>
      </c>
      <c r="N537" t="s">
        <v>1072</v>
      </c>
      <c r="O537">
        <v>1</v>
      </c>
    </row>
    <row r="538" spans="1:15" x14ac:dyDescent="0.2">
      <c r="A538" t="s">
        <v>466</v>
      </c>
      <c r="B538" t="s">
        <v>471</v>
      </c>
      <c r="C538" t="s">
        <v>115</v>
      </c>
      <c r="D538" t="s">
        <v>648</v>
      </c>
      <c r="E538" t="s">
        <v>231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0</v>
      </c>
      <c r="L538">
        <v>1</v>
      </c>
      <c r="M538">
        <v>1</v>
      </c>
      <c r="N538" t="s">
        <v>1073</v>
      </c>
      <c r="O538">
        <v>1</v>
      </c>
    </row>
    <row r="539" spans="1:15" x14ac:dyDescent="0.2">
      <c r="A539" t="s">
        <v>563</v>
      </c>
      <c r="B539" t="s">
        <v>233</v>
      </c>
      <c r="C539" t="s">
        <v>115</v>
      </c>
      <c r="D539" t="s">
        <v>252</v>
      </c>
      <c r="E539" t="s">
        <v>484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1</v>
      </c>
      <c r="N539" t="s">
        <v>854</v>
      </c>
      <c r="O539">
        <v>1</v>
      </c>
    </row>
    <row r="540" spans="1:15" x14ac:dyDescent="0.2">
      <c r="A540" t="s">
        <v>462</v>
      </c>
      <c r="B540" t="s">
        <v>484</v>
      </c>
      <c r="C540" t="s">
        <v>115</v>
      </c>
      <c r="D540" t="s">
        <v>252</v>
      </c>
      <c r="E540" t="s">
        <v>536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1</v>
      </c>
      <c r="N540" t="s">
        <v>1074</v>
      </c>
      <c r="O540">
        <v>1</v>
      </c>
    </row>
    <row r="541" spans="1:15" x14ac:dyDescent="0.2">
      <c r="A541" t="s">
        <v>533</v>
      </c>
      <c r="B541" t="s">
        <v>999</v>
      </c>
      <c r="C541" t="s">
        <v>252</v>
      </c>
      <c r="D541" t="s">
        <v>841</v>
      </c>
      <c r="E541" t="s">
        <v>106</v>
      </c>
      <c r="F541">
        <v>0</v>
      </c>
      <c r="G541">
        <v>1</v>
      </c>
      <c r="H541">
        <v>0</v>
      </c>
      <c r="I541">
        <v>1</v>
      </c>
      <c r="J541">
        <v>1</v>
      </c>
      <c r="K541">
        <v>0</v>
      </c>
      <c r="L541">
        <v>0</v>
      </c>
      <c r="M541">
        <v>0</v>
      </c>
      <c r="N541" t="s">
        <v>612</v>
      </c>
      <c r="O541">
        <v>1</v>
      </c>
    </row>
    <row r="542" spans="1:15" x14ac:dyDescent="0.2">
      <c r="A542" t="s">
        <v>536</v>
      </c>
      <c r="B542" t="s">
        <v>469</v>
      </c>
      <c r="C542" t="s">
        <v>252</v>
      </c>
      <c r="D542" t="s">
        <v>469</v>
      </c>
      <c r="E542" t="s">
        <v>483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1</v>
      </c>
      <c r="N542" t="s">
        <v>1075</v>
      </c>
      <c r="O542">
        <v>1</v>
      </c>
    </row>
    <row r="543" spans="1:15" x14ac:dyDescent="0.2">
      <c r="A543" t="s">
        <v>499</v>
      </c>
      <c r="B543" t="s">
        <v>458</v>
      </c>
      <c r="C543" t="s">
        <v>224</v>
      </c>
      <c r="D543" t="s">
        <v>1076</v>
      </c>
      <c r="E543" t="s">
        <v>233</v>
      </c>
      <c r="F543">
        <v>0</v>
      </c>
      <c r="G543">
        <v>1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  <c r="N543" t="s">
        <v>1077</v>
      </c>
      <c r="O543">
        <v>1</v>
      </c>
    </row>
    <row r="544" spans="1:15" x14ac:dyDescent="0.2">
      <c r="A544" t="s">
        <v>559</v>
      </c>
      <c r="B544" t="s">
        <v>239</v>
      </c>
      <c r="C544" t="s">
        <v>252</v>
      </c>
      <c r="D544" t="s">
        <v>531</v>
      </c>
      <c r="E544" t="s">
        <v>255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1</v>
      </c>
      <c r="N544" t="s">
        <v>1078</v>
      </c>
      <c r="O544">
        <v>1</v>
      </c>
    </row>
    <row r="545" spans="1:15" x14ac:dyDescent="0.2">
      <c r="A545" t="s">
        <v>492</v>
      </c>
      <c r="B545" t="s">
        <v>578</v>
      </c>
      <c r="C545" t="s">
        <v>252</v>
      </c>
      <c r="D545" t="s">
        <v>554</v>
      </c>
      <c r="E545" t="s">
        <v>493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 t="s">
        <v>1070</v>
      </c>
      <c r="O545">
        <v>1</v>
      </c>
    </row>
    <row r="546" spans="1:15" x14ac:dyDescent="0.2">
      <c r="A546" t="s">
        <v>466</v>
      </c>
      <c r="B546" t="s">
        <v>578</v>
      </c>
      <c r="C546" t="s">
        <v>129</v>
      </c>
      <c r="D546" t="s">
        <v>1079</v>
      </c>
      <c r="E546" t="s">
        <v>295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0</v>
      </c>
      <c r="N546" t="s">
        <v>1080</v>
      </c>
      <c r="O546">
        <v>1</v>
      </c>
    </row>
    <row r="547" spans="1:15" x14ac:dyDescent="0.2">
      <c r="A547" t="s">
        <v>468</v>
      </c>
      <c r="B547" t="s">
        <v>458</v>
      </c>
      <c r="C547" t="s">
        <v>252</v>
      </c>
      <c r="D547" t="s">
        <v>213</v>
      </c>
      <c r="E547" t="s">
        <v>125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 t="s">
        <v>1081</v>
      </c>
      <c r="O547">
        <v>1</v>
      </c>
    </row>
    <row r="548" spans="1:15" x14ac:dyDescent="0.2">
      <c r="A548" t="s">
        <v>602</v>
      </c>
      <c r="B548" t="s">
        <v>103</v>
      </c>
      <c r="C548" t="s">
        <v>129</v>
      </c>
      <c r="D548" t="s">
        <v>106</v>
      </c>
      <c r="E548" t="s">
        <v>193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1</v>
      </c>
      <c r="N548" t="s">
        <v>1082</v>
      </c>
      <c r="O548">
        <v>1</v>
      </c>
    </row>
    <row r="549" spans="1:15" x14ac:dyDescent="0.2">
      <c r="A549" t="s">
        <v>468</v>
      </c>
      <c r="B549" t="s">
        <v>469</v>
      </c>
      <c r="C549" t="s">
        <v>115</v>
      </c>
      <c r="D549" t="s">
        <v>81</v>
      </c>
      <c r="E549" t="s">
        <v>493</v>
      </c>
      <c r="F549">
        <v>1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</v>
      </c>
      <c r="N549" t="s">
        <v>1083</v>
      </c>
      <c r="O549">
        <v>1</v>
      </c>
    </row>
    <row r="550" spans="1:15" x14ac:dyDescent="0.2">
      <c r="A550" t="s">
        <v>541</v>
      </c>
      <c r="B550" t="s">
        <v>252</v>
      </c>
      <c r="C550" t="s">
        <v>252</v>
      </c>
      <c r="D550" t="s">
        <v>252</v>
      </c>
      <c r="E550" t="s">
        <v>307</v>
      </c>
      <c r="F550">
        <v>0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0</v>
      </c>
      <c r="N550" t="s">
        <v>1068</v>
      </c>
      <c r="O550">
        <v>0</v>
      </c>
    </row>
    <row r="551" spans="1:15" x14ac:dyDescent="0.2">
      <c r="A551" t="s">
        <v>482</v>
      </c>
      <c r="B551" t="s">
        <v>224</v>
      </c>
      <c r="C551" t="s">
        <v>213</v>
      </c>
      <c r="D551" t="s">
        <v>252</v>
      </c>
      <c r="E551" t="s">
        <v>482</v>
      </c>
      <c r="F551">
        <v>0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0</v>
      </c>
      <c r="N551" t="s">
        <v>1084</v>
      </c>
      <c r="O551">
        <v>0</v>
      </c>
    </row>
    <row r="552" spans="1:15" x14ac:dyDescent="0.2">
      <c r="A552" t="s">
        <v>526</v>
      </c>
      <c r="B552" t="s">
        <v>566</v>
      </c>
      <c r="C552" t="s">
        <v>252</v>
      </c>
      <c r="D552" t="s">
        <v>662</v>
      </c>
      <c r="E552" t="s">
        <v>154</v>
      </c>
      <c r="F552">
        <v>0</v>
      </c>
      <c r="G552">
        <v>1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 t="s">
        <v>1085</v>
      </c>
      <c r="O552">
        <v>0</v>
      </c>
    </row>
    <row r="553" spans="1:15" x14ac:dyDescent="0.2">
      <c r="A553" t="s">
        <v>552</v>
      </c>
      <c r="B553" t="s">
        <v>115</v>
      </c>
      <c r="C553" t="s">
        <v>129</v>
      </c>
      <c r="D553" t="s">
        <v>296</v>
      </c>
      <c r="E553" t="s">
        <v>231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 t="s">
        <v>887</v>
      </c>
      <c r="O553">
        <v>0</v>
      </c>
    </row>
    <row r="554" spans="1:15" x14ac:dyDescent="0.2">
      <c r="A554" t="s">
        <v>526</v>
      </c>
      <c r="B554" t="s">
        <v>552</v>
      </c>
      <c r="C554" t="s">
        <v>224</v>
      </c>
      <c r="D554" t="s">
        <v>606</v>
      </c>
      <c r="E554" t="s">
        <v>233</v>
      </c>
      <c r="F554">
        <v>0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0</v>
      </c>
      <c r="N554" t="s">
        <v>1086</v>
      </c>
      <c r="O554">
        <v>0</v>
      </c>
    </row>
    <row r="555" spans="1:15" x14ac:dyDescent="0.2">
      <c r="A555" t="s">
        <v>482</v>
      </c>
      <c r="B555" t="s">
        <v>466</v>
      </c>
      <c r="C555" t="s">
        <v>252</v>
      </c>
      <c r="D555" t="s">
        <v>613</v>
      </c>
      <c r="E555" t="s">
        <v>493</v>
      </c>
      <c r="F555">
        <v>1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 t="s">
        <v>1087</v>
      </c>
      <c r="O555">
        <v>0</v>
      </c>
    </row>
    <row r="556" spans="1:15" x14ac:dyDescent="0.2">
      <c r="A556" t="s">
        <v>512</v>
      </c>
      <c r="B556" t="s">
        <v>469</v>
      </c>
      <c r="C556" t="s">
        <v>224</v>
      </c>
      <c r="D556" t="s">
        <v>469</v>
      </c>
      <c r="E556" t="s">
        <v>231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1</v>
      </c>
      <c r="M556">
        <v>0</v>
      </c>
      <c r="N556" t="s">
        <v>809</v>
      </c>
      <c r="O556">
        <v>0</v>
      </c>
    </row>
    <row r="557" spans="1:15" x14ac:dyDescent="0.2">
      <c r="A557" t="s">
        <v>462</v>
      </c>
      <c r="B557" t="s">
        <v>528</v>
      </c>
      <c r="C557" t="s">
        <v>252</v>
      </c>
      <c r="D557" t="s">
        <v>178</v>
      </c>
      <c r="E557" t="s">
        <v>178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 t="s">
        <v>1088</v>
      </c>
      <c r="O557">
        <v>0</v>
      </c>
    </row>
    <row r="558" spans="1:15" x14ac:dyDescent="0.2">
      <c r="A558" t="s">
        <v>523</v>
      </c>
      <c r="B558" t="s">
        <v>1027</v>
      </c>
      <c r="C558" t="s">
        <v>252</v>
      </c>
      <c r="D558" t="s">
        <v>295</v>
      </c>
      <c r="E558" t="s">
        <v>295</v>
      </c>
      <c r="F558">
        <v>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0</v>
      </c>
      <c r="N558" t="s">
        <v>1089</v>
      </c>
      <c r="O558">
        <v>0</v>
      </c>
    </row>
    <row r="559" spans="1:15" x14ac:dyDescent="0.2">
      <c r="A559" t="s">
        <v>534</v>
      </c>
      <c r="B559" t="s">
        <v>469</v>
      </c>
      <c r="C559" t="s">
        <v>307</v>
      </c>
      <c r="D559" t="s">
        <v>469</v>
      </c>
      <c r="E559" t="s">
        <v>493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1</v>
      </c>
      <c r="N559" t="s">
        <v>1033</v>
      </c>
      <c r="O559">
        <v>0</v>
      </c>
    </row>
    <row r="560" spans="1:15" x14ac:dyDescent="0.2">
      <c r="A560" t="s">
        <v>536</v>
      </c>
      <c r="B560" t="s">
        <v>512</v>
      </c>
      <c r="C560" t="s">
        <v>224</v>
      </c>
      <c r="D560" t="s">
        <v>250</v>
      </c>
      <c r="E560" t="s">
        <v>493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 t="s">
        <v>1090</v>
      </c>
      <c r="O560">
        <v>0</v>
      </c>
    </row>
    <row r="561" spans="1:15" x14ac:dyDescent="0.2">
      <c r="A561" t="s">
        <v>495</v>
      </c>
      <c r="B561" t="s">
        <v>125</v>
      </c>
      <c r="C561" t="s">
        <v>193</v>
      </c>
      <c r="D561" t="s">
        <v>915</v>
      </c>
      <c r="E561" t="s">
        <v>607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1</v>
      </c>
      <c r="N561" t="s">
        <v>676</v>
      </c>
      <c r="O561">
        <v>0</v>
      </c>
    </row>
    <row r="562" spans="1:15" x14ac:dyDescent="0.2">
      <c r="A562" t="s">
        <v>492</v>
      </c>
      <c r="B562" t="s">
        <v>625</v>
      </c>
      <c r="C562" t="s">
        <v>252</v>
      </c>
      <c r="D562" t="s">
        <v>1091</v>
      </c>
      <c r="E562" t="s">
        <v>110</v>
      </c>
      <c r="F562">
        <v>1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 t="s">
        <v>1092</v>
      </c>
      <c r="O562">
        <v>0</v>
      </c>
    </row>
    <row r="563" spans="1:15" x14ac:dyDescent="0.2">
      <c r="A563" t="s">
        <v>492</v>
      </c>
      <c r="B563" t="s">
        <v>469</v>
      </c>
      <c r="C563" t="s">
        <v>503</v>
      </c>
      <c r="D563" t="s">
        <v>469</v>
      </c>
      <c r="E563" t="s">
        <v>106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1</v>
      </c>
      <c r="M563">
        <v>1</v>
      </c>
      <c r="N563" t="s">
        <v>1079</v>
      </c>
      <c r="O563">
        <v>0</v>
      </c>
    </row>
    <row r="564" spans="1:15" x14ac:dyDescent="0.2">
      <c r="A564" t="s">
        <v>468</v>
      </c>
      <c r="B564" t="s">
        <v>554</v>
      </c>
      <c r="C564" t="s">
        <v>224</v>
      </c>
      <c r="D564" t="s">
        <v>134</v>
      </c>
      <c r="E564" t="s">
        <v>239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1</v>
      </c>
      <c r="N564" t="s">
        <v>1093</v>
      </c>
      <c r="O564">
        <v>0</v>
      </c>
    </row>
    <row r="565" spans="1:15" x14ac:dyDescent="0.2">
      <c r="A565" t="s">
        <v>462</v>
      </c>
      <c r="B565" t="s">
        <v>234</v>
      </c>
      <c r="C565" t="s">
        <v>129</v>
      </c>
      <c r="D565" t="s">
        <v>1049</v>
      </c>
      <c r="E565" t="s">
        <v>295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1</v>
      </c>
      <c r="N565" t="s">
        <v>1094</v>
      </c>
      <c r="O565">
        <v>0</v>
      </c>
    </row>
    <row r="566" spans="1:15" x14ac:dyDescent="0.2">
      <c r="A566" t="s">
        <v>563</v>
      </c>
      <c r="B566" t="s">
        <v>254</v>
      </c>
      <c r="C566" t="s">
        <v>296</v>
      </c>
      <c r="D566" t="s">
        <v>307</v>
      </c>
      <c r="E566" t="s">
        <v>233</v>
      </c>
      <c r="F566">
        <v>0</v>
      </c>
      <c r="G566">
        <v>1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1</v>
      </c>
      <c r="N566" t="s">
        <v>230</v>
      </c>
      <c r="O566">
        <v>0</v>
      </c>
    </row>
    <row r="567" spans="1:15" x14ac:dyDescent="0.2">
      <c r="A567" t="s">
        <v>495</v>
      </c>
      <c r="B567" t="s">
        <v>1095</v>
      </c>
      <c r="C567" t="s">
        <v>252</v>
      </c>
      <c r="D567" t="s">
        <v>155</v>
      </c>
      <c r="E567" t="s">
        <v>296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0</v>
      </c>
      <c r="N567" t="s">
        <v>997</v>
      </c>
      <c r="O567">
        <v>0</v>
      </c>
    </row>
    <row r="568" spans="1:15" x14ac:dyDescent="0.2">
      <c r="A568" t="s">
        <v>541</v>
      </c>
      <c r="B568" t="s">
        <v>1096</v>
      </c>
      <c r="C568" t="s">
        <v>224</v>
      </c>
      <c r="D568" t="s">
        <v>514</v>
      </c>
      <c r="E568" t="s">
        <v>511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0</v>
      </c>
      <c r="N568" t="s">
        <v>1006</v>
      </c>
      <c r="O568">
        <v>0</v>
      </c>
    </row>
    <row r="569" spans="1:15" x14ac:dyDescent="0.2">
      <c r="A569" t="s">
        <v>526</v>
      </c>
      <c r="B569" t="s">
        <v>668</v>
      </c>
      <c r="C569" t="s">
        <v>224</v>
      </c>
      <c r="D569" t="s">
        <v>1097</v>
      </c>
      <c r="E569" t="s">
        <v>233</v>
      </c>
      <c r="F569">
        <v>1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0</v>
      </c>
      <c r="N569" t="s">
        <v>837</v>
      </c>
      <c r="O569">
        <v>0</v>
      </c>
    </row>
    <row r="570" spans="1:15" x14ac:dyDescent="0.2">
      <c r="A570" t="s">
        <v>458</v>
      </c>
      <c r="B570" t="s">
        <v>471</v>
      </c>
      <c r="C570" t="s">
        <v>558</v>
      </c>
      <c r="D570" t="s">
        <v>170</v>
      </c>
      <c r="E570" t="s">
        <v>231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 t="s">
        <v>1098</v>
      </c>
      <c r="O570">
        <v>0</v>
      </c>
    </row>
    <row r="571" spans="1:15" x14ac:dyDescent="0.2">
      <c r="A571" t="s">
        <v>578</v>
      </c>
      <c r="B571" t="s">
        <v>155</v>
      </c>
      <c r="C571" t="s">
        <v>224</v>
      </c>
      <c r="D571" t="s">
        <v>1099</v>
      </c>
      <c r="E571" t="s">
        <v>255</v>
      </c>
      <c r="F571">
        <v>1</v>
      </c>
      <c r="G571">
        <v>0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1</v>
      </c>
      <c r="N571" t="s">
        <v>816</v>
      </c>
      <c r="O571">
        <v>0</v>
      </c>
    </row>
    <row r="572" spans="1:15" x14ac:dyDescent="0.2">
      <c r="A572" t="s">
        <v>526</v>
      </c>
      <c r="B572" t="s">
        <v>261</v>
      </c>
      <c r="C572" t="s">
        <v>115</v>
      </c>
      <c r="D572" t="s">
        <v>117</v>
      </c>
      <c r="E572" t="s">
        <v>296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 t="s">
        <v>1100</v>
      </c>
      <c r="O572">
        <v>0</v>
      </c>
    </row>
    <row r="573" spans="1:15" x14ac:dyDescent="0.2">
      <c r="A573" t="s">
        <v>471</v>
      </c>
      <c r="B573" t="s">
        <v>173</v>
      </c>
      <c r="C573" t="s">
        <v>224</v>
      </c>
      <c r="D573" t="s">
        <v>115</v>
      </c>
      <c r="E573" t="s">
        <v>233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1</v>
      </c>
      <c r="N573" t="s">
        <v>667</v>
      </c>
      <c r="O573">
        <v>0</v>
      </c>
    </row>
    <row r="574" spans="1:15" x14ac:dyDescent="0.2">
      <c r="A574" t="s">
        <v>500</v>
      </c>
      <c r="B574" t="s">
        <v>166</v>
      </c>
      <c r="C574" t="s">
        <v>151</v>
      </c>
      <c r="D574" t="s">
        <v>173</v>
      </c>
      <c r="E574" t="s">
        <v>233</v>
      </c>
      <c r="F574">
        <v>0</v>
      </c>
      <c r="G574">
        <v>1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 t="s">
        <v>1101</v>
      </c>
      <c r="O574">
        <v>0</v>
      </c>
    </row>
    <row r="575" spans="1:15" x14ac:dyDescent="0.2">
      <c r="A575" t="s">
        <v>466</v>
      </c>
      <c r="B575" t="s">
        <v>239</v>
      </c>
      <c r="C575" t="s">
        <v>252</v>
      </c>
      <c r="D575" t="s">
        <v>295</v>
      </c>
      <c r="E575" t="s">
        <v>483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 t="s">
        <v>1102</v>
      </c>
      <c r="O575">
        <v>0</v>
      </c>
    </row>
    <row r="576" spans="1:15" x14ac:dyDescent="0.2">
      <c r="A576" t="s">
        <v>495</v>
      </c>
      <c r="B576" t="s">
        <v>537</v>
      </c>
      <c r="C576" t="s">
        <v>224</v>
      </c>
      <c r="D576" t="s">
        <v>484</v>
      </c>
      <c r="E576" t="s">
        <v>154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0</v>
      </c>
      <c r="N576" t="s">
        <v>818</v>
      </c>
      <c r="O576">
        <v>0</v>
      </c>
    </row>
    <row r="577" spans="1:15" x14ac:dyDescent="0.2">
      <c r="A577" t="s">
        <v>468</v>
      </c>
      <c r="B577" t="s">
        <v>466</v>
      </c>
      <c r="C577" t="s">
        <v>307</v>
      </c>
      <c r="D577" t="s">
        <v>473</v>
      </c>
      <c r="E577" t="s">
        <v>493</v>
      </c>
      <c r="F577">
        <v>1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1</v>
      </c>
      <c r="N577" t="s">
        <v>971</v>
      </c>
      <c r="O577">
        <v>0</v>
      </c>
    </row>
    <row r="578" spans="1:15" x14ac:dyDescent="0.2">
      <c r="A578" t="s">
        <v>632</v>
      </c>
      <c r="B578" t="s">
        <v>989</v>
      </c>
      <c r="C578" t="s">
        <v>115</v>
      </c>
      <c r="D578" t="s">
        <v>81</v>
      </c>
      <c r="E578" t="s">
        <v>233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0</v>
      </c>
      <c r="N578" t="s">
        <v>1103</v>
      </c>
      <c r="O578">
        <v>0</v>
      </c>
    </row>
    <row r="579" spans="1:15" x14ac:dyDescent="0.2">
      <c r="A579" t="s">
        <v>466</v>
      </c>
      <c r="B579" t="s">
        <v>129</v>
      </c>
      <c r="C579" t="s">
        <v>161</v>
      </c>
      <c r="D579" t="s">
        <v>224</v>
      </c>
      <c r="E579" t="s">
        <v>531</v>
      </c>
      <c r="F579">
        <v>0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1</v>
      </c>
      <c r="M579">
        <v>1</v>
      </c>
      <c r="N579" t="s">
        <v>539</v>
      </c>
      <c r="O579">
        <v>0</v>
      </c>
    </row>
    <row r="580" spans="1:15" x14ac:dyDescent="0.2">
      <c r="A580" t="s">
        <v>485</v>
      </c>
      <c r="B580" t="s">
        <v>544</v>
      </c>
      <c r="C580" t="s">
        <v>307</v>
      </c>
      <c r="D580" t="s">
        <v>934</v>
      </c>
      <c r="E580" t="s">
        <v>607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1</v>
      </c>
      <c r="N580" t="s">
        <v>467</v>
      </c>
      <c r="O580">
        <v>0</v>
      </c>
    </row>
    <row r="581" spans="1:15" x14ac:dyDescent="0.2">
      <c r="A581" t="s">
        <v>523</v>
      </c>
      <c r="B581" t="s">
        <v>741</v>
      </c>
      <c r="C581" t="s">
        <v>129</v>
      </c>
      <c r="D581" t="s">
        <v>252</v>
      </c>
      <c r="E581" t="s">
        <v>154</v>
      </c>
      <c r="F581">
        <v>0</v>
      </c>
      <c r="G581">
        <v>1</v>
      </c>
      <c r="H581">
        <v>0</v>
      </c>
      <c r="I581">
        <v>1</v>
      </c>
      <c r="J581">
        <v>0</v>
      </c>
      <c r="K581">
        <v>0</v>
      </c>
      <c r="L581">
        <v>1</v>
      </c>
      <c r="M581">
        <v>0</v>
      </c>
      <c r="N581" t="s">
        <v>1104</v>
      </c>
      <c r="O581">
        <v>0</v>
      </c>
    </row>
    <row r="582" spans="1:15" x14ac:dyDescent="0.2">
      <c r="A582" t="s">
        <v>500</v>
      </c>
      <c r="B582" t="s">
        <v>552</v>
      </c>
      <c r="C582" t="s">
        <v>252</v>
      </c>
      <c r="D582" t="s">
        <v>588</v>
      </c>
      <c r="E582" t="s">
        <v>154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 t="s">
        <v>1105</v>
      </c>
      <c r="O582">
        <v>0</v>
      </c>
    </row>
    <row r="583" spans="1:15" x14ac:dyDescent="0.2">
      <c r="A583" t="s">
        <v>607</v>
      </c>
      <c r="B583" t="s">
        <v>1106</v>
      </c>
      <c r="C583" t="s">
        <v>129</v>
      </c>
      <c r="D583" t="s">
        <v>238</v>
      </c>
      <c r="E583" t="s">
        <v>239</v>
      </c>
      <c r="F583">
        <v>1</v>
      </c>
      <c r="G583">
        <v>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 t="s">
        <v>1107</v>
      </c>
      <c r="O583">
        <v>0</v>
      </c>
    </row>
    <row r="584" spans="1:15" x14ac:dyDescent="0.2">
      <c r="A584" t="s">
        <v>468</v>
      </c>
      <c r="B584" t="s">
        <v>106</v>
      </c>
      <c r="C584" t="s">
        <v>178</v>
      </c>
      <c r="D584" t="s">
        <v>224</v>
      </c>
      <c r="E584" t="s">
        <v>607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1</v>
      </c>
      <c r="N584" t="s">
        <v>1108</v>
      </c>
      <c r="O584">
        <v>0</v>
      </c>
    </row>
    <row r="585" spans="1:15" x14ac:dyDescent="0.2">
      <c r="A585" t="s">
        <v>495</v>
      </c>
      <c r="B585" t="s">
        <v>233</v>
      </c>
      <c r="C585" t="s">
        <v>252</v>
      </c>
      <c r="D585" t="s">
        <v>250</v>
      </c>
      <c r="E585" t="s">
        <v>92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0</v>
      </c>
      <c r="N585" t="s">
        <v>1109</v>
      </c>
      <c r="O585">
        <v>0</v>
      </c>
    </row>
    <row r="586" spans="1:15" x14ac:dyDescent="0.2">
      <c r="A586" t="s">
        <v>607</v>
      </c>
      <c r="B586" t="s">
        <v>603</v>
      </c>
      <c r="C586" t="s">
        <v>129</v>
      </c>
      <c r="D586" t="s">
        <v>173</v>
      </c>
      <c r="E586" t="s">
        <v>511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 t="s">
        <v>710</v>
      </c>
      <c r="O586">
        <v>0</v>
      </c>
    </row>
    <row r="587" spans="1:15" x14ac:dyDescent="0.2">
      <c r="A587" t="s">
        <v>530</v>
      </c>
      <c r="B587" t="s">
        <v>469</v>
      </c>
      <c r="C587" t="s">
        <v>252</v>
      </c>
      <c r="D587" t="s">
        <v>552</v>
      </c>
      <c r="E587" t="s">
        <v>193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 t="s">
        <v>1110</v>
      </c>
      <c r="O587">
        <v>0</v>
      </c>
    </row>
    <row r="588" spans="1:15" x14ac:dyDescent="0.2">
      <c r="A588" t="s">
        <v>482</v>
      </c>
      <c r="B588" t="s">
        <v>224</v>
      </c>
      <c r="C588" t="s">
        <v>252</v>
      </c>
      <c r="D588" t="s">
        <v>279</v>
      </c>
      <c r="E588" t="s">
        <v>92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 t="s">
        <v>1111</v>
      </c>
      <c r="O588">
        <v>0</v>
      </c>
    </row>
    <row r="589" spans="1:15" x14ac:dyDescent="0.2">
      <c r="A589" t="s">
        <v>519</v>
      </c>
      <c r="B589" t="s">
        <v>578</v>
      </c>
      <c r="C589" t="s">
        <v>252</v>
      </c>
      <c r="D589" t="s">
        <v>161</v>
      </c>
      <c r="E589" t="s">
        <v>503</v>
      </c>
      <c r="F589">
        <v>1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1</v>
      </c>
      <c r="N589" t="s">
        <v>116</v>
      </c>
      <c r="O589">
        <v>0</v>
      </c>
    </row>
    <row r="590" spans="1:15" x14ac:dyDescent="0.2">
      <c r="A590" t="s">
        <v>530</v>
      </c>
      <c r="B590" t="s">
        <v>558</v>
      </c>
      <c r="C590" t="s">
        <v>115</v>
      </c>
      <c r="D590" t="s">
        <v>125</v>
      </c>
      <c r="E590" t="s">
        <v>233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1</v>
      </c>
      <c r="N590" t="s">
        <v>1112</v>
      </c>
      <c r="O590">
        <v>0</v>
      </c>
    </row>
    <row r="591" spans="1:15" x14ac:dyDescent="0.2">
      <c r="A591" t="s">
        <v>523</v>
      </c>
      <c r="B591" t="s">
        <v>254</v>
      </c>
      <c r="C591" t="s">
        <v>213</v>
      </c>
      <c r="D591" t="s">
        <v>193</v>
      </c>
      <c r="E591" t="s">
        <v>233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1</v>
      </c>
      <c r="N591" t="s">
        <v>1113</v>
      </c>
      <c r="O591">
        <v>0</v>
      </c>
    </row>
    <row r="592" spans="1:15" x14ac:dyDescent="0.2">
      <c r="A592" t="s">
        <v>523</v>
      </c>
      <c r="B592" t="s">
        <v>224</v>
      </c>
      <c r="C592" t="s">
        <v>528</v>
      </c>
      <c r="D592" t="s">
        <v>528</v>
      </c>
      <c r="E592" t="s">
        <v>178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0</v>
      </c>
      <c r="N592" t="s">
        <v>1114</v>
      </c>
      <c r="O592">
        <v>0</v>
      </c>
    </row>
    <row r="593" spans="1:15" x14ac:dyDescent="0.2">
      <c r="A593" t="s">
        <v>500</v>
      </c>
      <c r="B593" t="s">
        <v>462</v>
      </c>
      <c r="C593" t="s">
        <v>129</v>
      </c>
      <c r="D593" t="s">
        <v>239</v>
      </c>
      <c r="E593" t="s">
        <v>255</v>
      </c>
      <c r="F593">
        <v>0</v>
      </c>
      <c r="G593">
        <v>1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1</v>
      </c>
      <c r="N593" t="s">
        <v>1115</v>
      </c>
      <c r="O593">
        <v>0</v>
      </c>
    </row>
    <row r="594" spans="1:15" x14ac:dyDescent="0.2">
      <c r="A594" t="s">
        <v>526</v>
      </c>
      <c r="B594" t="s">
        <v>607</v>
      </c>
      <c r="C594" t="s">
        <v>252</v>
      </c>
      <c r="D594" t="s">
        <v>162</v>
      </c>
      <c r="E594" t="s">
        <v>110</v>
      </c>
      <c r="F594">
        <v>1</v>
      </c>
      <c r="G594">
        <v>0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1</v>
      </c>
      <c r="N594" t="s">
        <v>1116</v>
      </c>
      <c r="O594">
        <v>0</v>
      </c>
    </row>
    <row r="595" spans="1:15" x14ac:dyDescent="0.2">
      <c r="A595" t="s">
        <v>519</v>
      </c>
      <c r="B595" t="s">
        <v>530</v>
      </c>
      <c r="C595" t="s">
        <v>115</v>
      </c>
      <c r="D595" t="s">
        <v>258</v>
      </c>
      <c r="E595" t="s">
        <v>500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1</v>
      </c>
      <c r="N595" t="s">
        <v>647</v>
      </c>
      <c r="O595">
        <v>0</v>
      </c>
    </row>
    <row r="596" spans="1:15" x14ac:dyDescent="0.2">
      <c r="A596" t="s">
        <v>511</v>
      </c>
      <c r="B596" t="s">
        <v>129</v>
      </c>
      <c r="C596" t="s">
        <v>213</v>
      </c>
      <c r="D596" t="s">
        <v>484</v>
      </c>
      <c r="E596" t="s">
        <v>133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 t="s">
        <v>1117</v>
      </c>
      <c r="O596">
        <v>0</v>
      </c>
    </row>
    <row r="597" spans="1:15" x14ac:dyDescent="0.2">
      <c r="A597" t="s">
        <v>607</v>
      </c>
      <c r="B597" t="s">
        <v>192</v>
      </c>
      <c r="C597" t="s">
        <v>224</v>
      </c>
      <c r="D597" t="s">
        <v>651</v>
      </c>
      <c r="E597" t="s">
        <v>125</v>
      </c>
      <c r="F597">
        <v>0</v>
      </c>
      <c r="G597">
        <v>1</v>
      </c>
      <c r="H597">
        <v>0</v>
      </c>
      <c r="I597">
        <v>1</v>
      </c>
      <c r="J597">
        <v>1</v>
      </c>
      <c r="K597">
        <v>0</v>
      </c>
      <c r="L597">
        <v>0</v>
      </c>
      <c r="M597">
        <v>0</v>
      </c>
      <c r="N597" t="s">
        <v>1118</v>
      </c>
      <c r="O597">
        <v>0</v>
      </c>
    </row>
    <row r="598" spans="1:15" x14ac:dyDescent="0.2">
      <c r="A598" t="s">
        <v>468</v>
      </c>
      <c r="B598" t="s">
        <v>296</v>
      </c>
      <c r="C598" t="s">
        <v>129</v>
      </c>
      <c r="D598" t="s">
        <v>625</v>
      </c>
      <c r="E598" t="s">
        <v>92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 t="s">
        <v>396</v>
      </c>
      <c r="O598">
        <v>0</v>
      </c>
    </row>
    <row r="599" spans="1:15" x14ac:dyDescent="0.2">
      <c r="A599" t="s">
        <v>466</v>
      </c>
      <c r="B599" t="s">
        <v>473</v>
      </c>
      <c r="C599" t="s">
        <v>213</v>
      </c>
      <c r="D599" t="s">
        <v>973</v>
      </c>
      <c r="E599" t="s">
        <v>133</v>
      </c>
      <c r="F599">
        <v>0</v>
      </c>
      <c r="G599">
        <v>1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 t="s">
        <v>1067</v>
      </c>
      <c r="O599">
        <v>0</v>
      </c>
    </row>
    <row r="600" spans="1:15" x14ac:dyDescent="0.2">
      <c r="A600" t="s">
        <v>482</v>
      </c>
      <c r="B600" t="s">
        <v>250</v>
      </c>
      <c r="C600" t="s">
        <v>224</v>
      </c>
      <c r="D600" t="s">
        <v>709</v>
      </c>
      <c r="E600" t="s">
        <v>502</v>
      </c>
      <c r="F600">
        <v>0</v>
      </c>
      <c r="G600">
        <v>1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0</v>
      </c>
      <c r="N600" t="s">
        <v>958</v>
      </c>
      <c r="O600">
        <v>0</v>
      </c>
    </row>
    <row r="601" spans="1:15" x14ac:dyDescent="0.2">
      <c r="A601" t="s">
        <v>471</v>
      </c>
      <c r="B601" t="s">
        <v>224</v>
      </c>
      <c r="C601" t="s">
        <v>558</v>
      </c>
      <c r="D601" t="s">
        <v>252</v>
      </c>
      <c r="E601" t="s">
        <v>482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1</v>
      </c>
      <c r="N601" t="s">
        <v>1119</v>
      </c>
      <c r="O601">
        <v>0</v>
      </c>
    </row>
    <row r="602" spans="1:15" x14ac:dyDescent="0.2">
      <c r="A602" t="s">
        <v>578</v>
      </c>
      <c r="B602" t="s">
        <v>1120</v>
      </c>
      <c r="C602" t="s">
        <v>110</v>
      </c>
      <c r="D602" t="s">
        <v>963</v>
      </c>
      <c r="E602" t="s">
        <v>154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 t="s">
        <v>1121</v>
      </c>
      <c r="O602">
        <v>0</v>
      </c>
    </row>
    <row r="603" spans="1:15" x14ac:dyDescent="0.2">
      <c r="A603" t="s">
        <v>564</v>
      </c>
      <c r="B603" t="s">
        <v>133</v>
      </c>
      <c r="C603" t="s">
        <v>528</v>
      </c>
      <c r="D603" t="s">
        <v>106</v>
      </c>
      <c r="E603" t="s">
        <v>460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1</v>
      </c>
      <c r="N603" t="s">
        <v>1122</v>
      </c>
      <c r="O603">
        <v>0</v>
      </c>
    </row>
    <row r="604" spans="1:15" x14ac:dyDescent="0.2">
      <c r="A604" t="s">
        <v>468</v>
      </c>
      <c r="B604" t="s">
        <v>133</v>
      </c>
      <c r="C604" t="s">
        <v>296</v>
      </c>
      <c r="D604" t="s">
        <v>279</v>
      </c>
      <c r="E604" t="s">
        <v>154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  <c r="N604" t="s">
        <v>1123</v>
      </c>
      <c r="O604">
        <v>0</v>
      </c>
    </row>
    <row r="605" spans="1:15" x14ac:dyDescent="0.2">
      <c r="A605" t="s">
        <v>477</v>
      </c>
      <c r="B605" t="s">
        <v>296</v>
      </c>
      <c r="C605" t="s">
        <v>178</v>
      </c>
      <c r="D605" t="s">
        <v>239</v>
      </c>
      <c r="E605" t="s">
        <v>295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1</v>
      </c>
      <c r="N605" t="s">
        <v>1124</v>
      </c>
      <c r="O605">
        <v>0</v>
      </c>
    </row>
    <row r="606" spans="1:15" x14ac:dyDescent="0.2">
      <c r="A606" t="s">
        <v>482</v>
      </c>
      <c r="B606" t="s">
        <v>511</v>
      </c>
      <c r="C606" t="s">
        <v>115</v>
      </c>
      <c r="D606" t="s">
        <v>484</v>
      </c>
      <c r="E606" t="s">
        <v>296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1</v>
      </c>
      <c r="M606">
        <v>0</v>
      </c>
      <c r="N606" t="s">
        <v>1125</v>
      </c>
      <c r="O606">
        <v>0</v>
      </c>
    </row>
    <row r="607" spans="1:15" x14ac:dyDescent="0.2">
      <c r="A607" t="s">
        <v>563</v>
      </c>
      <c r="B607" t="s">
        <v>1126</v>
      </c>
      <c r="C607" t="s">
        <v>115</v>
      </c>
      <c r="D607" t="s">
        <v>115</v>
      </c>
      <c r="E607" t="s">
        <v>493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0</v>
      </c>
      <c r="N607" t="s">
        <v>988</v>
      </c>
      <c r="O607">
        <v>0</v>
      </c>
    </row>
    <row r="608" spans="1:15" x14ac:dyDescent="0.2">
      <c r="A608" t="s">
        <v>462</v>
      </c>
      <c r="B608" t="s">
        <v>1127</v>
      </c>
      <c r="C608" t="s">
        <v>224</v>
      </c>
      <c r="D608" t="s">
        <v>823</v>
      </c>
      <c r="E608" t="s">
        <v>250</v>
      </c>
      <c r="F608">
        <v>0</v>
      </c>
      <c r="G608">
        <v>1</v>
      </c>
      <c r="H608">
        <v>0</v>
      </c>
      <c r="I608">
        <v>1</v>
      </c>
      <c r="J608">
        <v>0</v>
      </c>
      <c r="K608">
        <v>1</v>
      </c>
      <c r="L608">
        <v>0</v>
      </c>
      <c r="M608">
        <v>0</v>
      </c>
      <c r="N608" t="s">
        <v>606</v>
      </c>
      <c r="O608">
        <v>0</v>
      </c>
    </row>
    <row r="609" spans="1:15" x14ac:dyDescent="0.2">
      <c r="A609" t="s">
        <v>473</v>
      </c>
      <c r="B609" t="s">
        <v>552</v>
      </c>
      <c r="C609" t="s">
        <v>129</v>
      </c>
      <c r="D609" t="s">
        <v>178</v>
      </c>
      <c r="E609" t="s">
        <v>493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 t="s">
        <v>298</v>
      </c>
      <c r="O609">
        <v>0</v>
      </c>
    </row>
    <row r="610" spans="1:15" x14ac:dyDescent="0.2">
      <c r="A610" t="s">
        <v>512</v>
      </c>
      <c r="B610" t="s">
        <v>115</v>
      </c>
      <c r="C610" t="s">
        <v>224</v>
      </c>
      <c r="D610" t="s">
        <v>213</v>
      </c>
      <c r="E610" t="s">
        <v>466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1</v>
      </c>
      <c r="M610">
        <v>0</v>
      </c>
      <c r="N610" t="s">
        <v>768</v>
      </c>
      <c r="O610">
        <v>0</v>
      </c>
    </row>
    <row r="611" spans="1:15" x14ac:dyDescent="0.2">
      <c r="A611" t="s">
        <v>473</v>
      </c>
      <c r="B611" t="s">
        <v>469</v>
      </c>
      <c r="C611" t="s">
        <v>252</v>
      </c>
      <c r="D611" t="s">
        <v>469</v>
      </c>
      <c r="E611" t="s">
        <v>133</v>
      </c>
      <c r="F611">
        <v>0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1</v>
      </c>
      <c r="N611" t="s">
        <v>273</v>
      </c>
      <c r="O611">
        <v>0</v>
      </c>
    </row>
    <row r="612" spans="1:15" x14ac:dyDescent="0.2">
      <c r="A612" t="s">
        <v>492</v>
      </c>
      <c r="B612" t="s">
        <v>133</v>
      </c>
      <c r="C612" t="s">
        <v>151</v>
      </c>
      <c r="D612" t="s">
        <v>268</v>
      </c>
      <c r="E612" t="s">
        <v>607</v>
      </c>
      <c r="F612">
        <v>1</v>
      </c>
      <c r="G612">
        <v>0</v>
      </c>
      <c r="H612">
        <v>1</v>
      </c>
      <c r="I612">
        <v>0</v>
      </c>
      <c r="J612">
        <v>1</v>
      </c>
      <c r="K612">
        <v>0</v>
      </c>
      <c r="L612">
        <v>0</v>
      </c>
      <c r="M612">
        <v>1</v>
      </c>
      <c r="N612" t="s">
        <v>1128</v>
      </c>
      <c r="O612">
        <v>0</v>
      </c>
    </row>
    <row r="613" spans="1:15" x14ac:dyDescent="0.2">
      <c r="A613" t="s">
        <v>554</v>
      </c>
      <c r="B613" t="s">
        <v>558</v>
      </c>
      <c r="C613" t="s">
        <v>151</v>
      </c>
      <c r="D613" t="s">
        <v>558</v>
      </c>
      <c r="E613" t="s">
        <v>193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1</v>
      </c>
      <c r="N613" t="s">
        <v>1129</v>
      </c>
      <c r="O613">
        <v>0</v>
      </c>
    </row>
    <row r="614" spans="1:15" x14ac:dyDescent="0.2">
      <c r="A614" t="s">
        <v>530</v>
      </c>
      <c r="B614" t="s">
        <v>558</v>
      </c>
      <c r="C614" t="s">
        <v>252</v>
      </c>
      <c r="D614" t="s">
        <v>466</v>
      </c>
      <c r="E614" t="s">
        <v>460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 t="s">
        <v>657</v>
      </c>
      <c r="O614">
        <v>0</v>
      </c>
    </row>
    <row r="615" spans="1:15" x14ac:dyDescent="0.2">
      <c r="A615" t="s">
        <v>488</v>
      </c>
      <c r="B615" t="s">
        <v>528</v>
      </c>
      <c r="C615" t="s">
        <v>252</v>
      </c>
      <c r="D615" t="s">
        <v>129</v>
      </c>
      <c r="E615" t="s">
        <v>460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 t="s">
        <v>914</v>
      </c>
      <c r="O615">
        <v>0</v>
      </c>
    </row>
    <row r="616" spans="1:15" x14ac:dyDescent="0.2">
      <c r="A616" t="s">
        <v>632</v>
      </c>
      <c r="B616" t="s">
        <v>1130</v>
      </c>
      <c r="C616" t="s">
        <v>224</v>
      </c>
      <c r="D616" t="s">
        <v>267</v>
      </c>
      <c r="E616" t="s">
        <v>531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 t="s">
        <v>211</v>
      </c>
      <c r="O616">
        <v>0</v>
      </c>
    </row>
    <row r="617" spans="1:15" x14ac:dyDescent="0.2">
      <c r="A617" t="s">
        <v>495</v>
      </c>
      <c r="B617" t="s">
        <v>484</v>
      </c>
      <c r="C617" t="s">
        <v>129</v>
      </c>
      <c r="D617" t="s">
        <v>115</v>
      </c>
      <c r="E617" t="s">
        <v>460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1</v>
      </c>
      <c r="N617" t="s">
        <v>1131</v>
      </c>
      <c r="O617">
        <v>0</v>
      </c>
    </row>
    <row r="618" spans="1:15" x14ac:dyDescent="0.2">
      <c r="A618" t="s">
        <v>632</v>
      </c>
      <c r="B618" t="s">
        <v>469</v>
      </c>
      <c r="C618" t="s">
        <v>129</v>
      </c>
      <c r="D618" t="s">
        <v>469</v>
      </c>
      <c r="E618" t="s">
        <v>582</v>
      </c>
      <c r="F618">
        <v>0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 t="s">
        <v>722</v>
      </c>
      <c r="O618">
        <v>0</v>
      </c>
    </row>
    <row r="619" spans="1:15" x14ac:dyDescent="0.2">
      <c r="A619" t="s">
        <v>536</v>
      </c>
      <c r="B619" t="s">
        <v>460</v>
      </c>
      <c r="C619" t="s">
        <v>252</v>
      </c>
      <c r="D619" t="s">
        <v>559</v>
      </c>
      <c r="E619" t="s">
        <v>110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 t="s">
        <v>1132</v>
      </c>
      <c r="O619">
        <v>0</v>
      </c>
    </row>
    <row r="620" spans="1:15" x14ac:dyDescent="0.2">
      <c r="A620" t="s">
        <v>482</v>
      </c>
      <c r="B620" t="s">
        <v>541</v>
      </c>
      <c r="C620" t="s">
        <v>178</v>
      </c>
      <c r="D620" t="s">
        <v>503</v>
      </c>
      <c r="E620" t="s">
        <v>253</v>
      </c>
      <c r="F620">
        <v>0</v>
      </c>
      <c r="G620">
        <v>1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1</v>
      </c>
      <c r="N620" t="s">
        <v>971</v>
      </c>
      <c r="O620">
        <v>0</v>
      </c>
    </row>
    <row r="621" spans="1:15" x14ac:dyDescent="0.2">
      <c r="A621" t="s">
        <v>534</v>
      </c>
      <c r="B621" t="s">
        <v>1133</v>
      </c>
      <c r="C621" t="s">
        <v>528</v>
      </c>
      <c r="D621" t="s">
        <v>517</v>
      </c>
      <c r="E621" t="s">
        <v>493</v>
      </c>
      <c r="F621">
        <v>0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1</v>
      </c>
      <c r="N621" t="s">
        <v>1134</v>
      </c>
      <c r="O621">
        <v>0</v>
      </c>
    </row>
    <row r="622" spans="1:15" x14ac:dyDescent="0.2">
      <c r="A622" t="s">
        <v>563</v>
      </c>
      <c r="B622" t="s">
        <v>533</v>
      </c>
      <c r="C622" t="s">
        <v>151</v>
      </c>
      <c r="D622" t="s">
        <v>469</v>
      </c>
      <c r="E622" t="s">
        <v>92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1</v>
      </c>
      <c r="N622" t="s">
        <v>1135</v>
      </c>
      <c r="O622">
        <v>0</v>
      </c>
    </row>
    <row r="623" spans="1:15" x14ac:dyDescent="0.2">
      <c r="A623" t="s">
        <v>512</v>
      </c>
      <c r="B623" t="s">
        <v>469</v>
      </c>
      <c r="C623" t="s">
        <v>252</v>
      </c>
      <c r="D623" t="s">
        <v>503</v>
      </c>
      <c r="E623" t="s">
        <v>484</v>
      </c>
      <c r="F623">
        <v>1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1</v>
      </c>
      <c r="M623">
        <v>0</v>
      </c>
      <c r="N623" t="s">
        <v>159</v>
      </c>
      <c r="O623">
        <v>0</v>
      </c>
    </row>
    <row r="624" spans="1:15" x14ac:dyDescent="0.2">
      <c r="A624" t="s">
        <v>607</v>
      </c>
      <c r="B624" t="s">
        <v>1054</v>
      </c>
      <c r="C624" t="s">
        <v>213</v>
      </c>
      <c r="D624" t="s">
        <v>1136</v>
      </c>
      <c r="E624" t="s">
        <v>295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1</v>
      </c>
      <c r="N624" t="s">
        <v>242</v>
      </c>
      <c r="O624">
        <v>0</v>
      </c>
    </row>
    <row r="625" spans="1:15" x14ac:dyDescent="0.2">
      <c r="A625" t="s">
        <v>458</v>
      </c>
      <c r="B625" t="s">
        <v>251</v>
      </c>
      <c r="C625" t="s">
        <v>129</v>
      </c>
      <c r="D625" t="s">
        <v>252</v>
      </c>
      <c r="E625" t="s">
        <v>233</v>
      </c>
      <c r="F625">
        <v>1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1</v>
      </c>
      <c r="M625">
        <v>0</v>
      </c>
      <c r="N625" t="s">
        <v>1137</v>
      </c>
      <c r="O625">
        <v>0</v>
      </c>
    </row>
    <row r="626" spans="1:15" x14ac:dyDescent="0.2">
      <c r="A626" t="s">
        <v>492</v>
      </c>
      <c r="B626" t="s">
        <v>469</v>
      </c>
      <c r="C626" t="s">
        <v>307</v>
      </c>
      <c r="D626" t="s">
        <v>469</v>
      </c>
      <c r="E626" t="s">
        <v>133</v>
      </c>
      <c r="F626">
        <v>1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0</v>
      </c>
      <c r="N626" t="s">
        <v>1138</v>
      </c>
      <c r="O626">
        <v>0</v>
      </c>
    </row>
    <row r="627" spans="1:15" x14ac:dyDescent="0.2">
      <c r="A627" t="s">
        <v>460</v>
      </c>
      <c r="B627" t="s">
        <v>106</v>
      </c>
      <c r="C627" t="s">
        <v>129</v>
      </c>
      <c r="D627" t="s">
        <v>224</v>
      </c>
      <c r="E627" t="s">
        <v>233</v>
      </c>
      <c r="F627">
        <v>1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1</v>
      </c>
      <c r="M627">
        <v>0</v>
      </c>
      <c r="N627" t="s">
        <v>1115</v>
      </c>
      <c r="O627">
        <v>0</v>
      </c>
    </row>
    <row r="628" spans="1:15" x14ac:dyDescent="0.2">
      <c r="A628" t="s">
        <v>482</v>
      </c>
      <c r="B628" t="s">
        <v>469</v>
      </c>
      <c r="C628" t="s">
        <v>252</v>
      </c>
      <c r="D628" t="s">
        <v>469</v>
      </c>
      <c r="E628" t="s">
        <v>517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1</v>
      </c>
      <c r="N628" t="s">
        <v>706</v>
      </c>
      <c r="O628">
        <v>0</v>
      </c>
    </row>
    <row r="629" spans="1:15" x14ac:dyDescent="0.2">
      <c r="A629" t="s">
        <v>607</v>
      </c>
      <c r="B629" t="s">
        <v>493</v>
      </c>
      <c r="C629" t="s">
        <v>252</v>
      </c>
      <c r="D629" t="s">
        <v>1028</v>
      </c>
      <c r="E629" t="s">
        <v>500</v>
      </c>
      <c r="F629">
        <v>1</v>
      </c>
      <c r="G629">
        <v>0</v>
      </c>
      <c r="H629">
        <v>0</v>
      </c>
      <c r="I629">
        <v>1</v>
      </c>
      <c r="J629">
        <v>1</v>
      </c>
      <c r="K629">
        <v>0</v>
      </c>
      <c r="L629">
        <v>0</v>
      </c>
      <c r="M629">
        <v>0</v>
      </c>
      <c r="N629" t="s">
        <v>1139</v>
      </c>
      <c r="O629">
        <v>0</v>
      </c>
    </row>
    <row r="630" spans="1:15" x14ac:dyDescent="0.2">
      <c r="A630" t="s">
        <v>530</v>
      </c>
      <c r="B630" t="s">
        <v>552</v>
      </c>
      <c r="C630" t="s">
        <v>193</v>
      </c>
      <c r="D630" t="s">
        <v>115</v>
      </c>
      <c r="E630" t="s">
        <v>607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1</v>
      </c>
      <c r="N630" t="s">
        <v>237</v>
      </c>
      <c r="O630">
        <v>0</v>
      </c>
    </row>
    <row r="631" spans="1:15" x14ac:dyDescent="0.2">
      <c r="A631" t="s">
        <v>471</v>
      </c>
      <c r="B631" t="s">
        <v>761</v>
      </c>
      <c r="C631" t="s">
        <v>296</v>
      </c>
      <c r="D631" t="s">
        <v>743</v>
      </c>
      <c r="E631" t="s">
        <v>295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1</v>
      </c>
      <c r="N631" t="s">
        <v>875</v>
      </c>
      <c r="O631">
        <v>0</v>
      </c>
    </row>
    <row r="632" spans="1:15" x14ac:dyDescent="0.2">
      <c r="A632" t="s">
        <v>458</v>
      </c>
      <c r="B632" t="s">
        <v>1004</v>
      </c>
      <c r="C632" t="s">
        <v>224</v>
      </c>
      <c r="D632" t="s">
        <v>767</v>
      </c>
      <c r="E632" t="s">
        <v>233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1</v>
      </c>
      <c r="N632" t="s">
        <v>1014</v>
      </c>
      <c r="O632">
        <v>0</v>
      </c>
    </row>
    <row r="633" spans="1:15" x14ac:dyDescent="0.2">
      <c r="A633" t="s">
        <v>530</v>
      </c>
      <c r="B633" t="s">
        <v>469</v>
      </c>
      <c r="C633" t="s">
        <v>503</v>
      </c>
      <c r="D633" t="s">
        <v>469</v>
      </c>
      <c r="E633" t="s">
        <v>233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1</v>
      </c>
      <c r="N633" t="s">
        <v>1140</v>
      </c>
      <c r="O633">
        <v>0</v>
      </c>
    </row>
    <row r="634" spans="1:15" x14ac:dyDescent="0.2">
      <c r="A634" t="s">
        <v>541</v>
      </c>
      <c r="B634" t="s">
        <v>1141</v>
      </c>
      <c r="C634" t="s">
        <v>252</v>
      </c>
      <c r="D634" t="s">
        <v>976</v>
      </c>
      <c r="E634" t="s">
        <v>250</v>
      </c>
      <c r="F634">
        <v>1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1</v>
      </c>
      <c r="N634" t="s">
        <v>1142</v>
      </c>
      <c r="O634">
        <v>0</v>
      </c>
    </row>
    <row r="635" spans="1:15" x14ac:dyDescent="0.2">
      <c r="A635" t="s">
        <v>512</v>
      </c>
      <c r="B635" t="s">
        <v>469</v>
      </c>
      <c r="C635" t="s">
        <v>224</v>
      </c>
      <c r="D635" t="s">
        <v>469</v>
      </c>
      <c r="E635" t="s">
        <v>233</v>
      </c>
      <c r="F635">
        <v>1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1</v>
      </c>
      <c r="N635" t="s">
        <v>560</v>
      </c>
      <c r="O635">
        <v>0</v>
      </c>
    </row>
    <row r="636" spans="1:15" x14ac:dyDescent="0.2">
      <c r="A636" t="s">
        <v>563</v>
      </c>
      <c r="B636" t="s">
        <v>307</v>
      </c>
      <c r="C636" t="s">
        <v>110</v>
      </c>
      <c r="D636" t="s">
        <v>469</v>
      </c>
      <c r="E636" t="s">
        <v>531</v>
      </c>
      <c r="F636">
        <v>0</v>
      </c>
      <c r="G636">
        <v>1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1</v>
      </c>
      <c r="N636" t="s">
        <v>821</v>
      </c>
      <c r="O636">
        <v>0</v>
      </c>
    </row>
    <row r="637" spans="1:15" x14ac:dyDescent="0.2">
      <c r="A637" t="s">
        <v>466</v>
      </c>
      <c r="B637" t="s">
        <v>133</v>
      </c>
      <c r="C637" t="s">
        <v>307</v>
      </c>
      <c r="D637" t="s">
        <v>179</v>
      </c>
      <c r="E637" t="s">
        <v>233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0</v>
      </c>
      <c r="M637">
        <v>0</v>
      </c>
      <c r="N637" t="s">
        <v>1143</v>
      </c>
      <c r="O637">
        <v>0</v>
      </c>
    </row>
    <row r="638" spans="1:15" x14ac:dyDescent="0.2">
      <c r="A638" t="s">
        <v>536</v>
      </c>
      <c r="B638" t="s">
        <v>469</v>
      </c>
      <c r="C638" t="s">
        <v>224</v>
      </c>
      <c r="D638" t="s">
        <v>469</v>
      </c>
      <c r="E638" t="s">
        <v>536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0</v>
      </c>
      <c r="N638" t="s">
        <v>1144</v>
      </c>
      <c r="O638">
        <v>0</v>
      </c>
    </row>
    <row r="639" spans="1:15" x14ac:dyDescent="0.2">
      <c r="A639" t="s">
        <v>519</v>
      </c>
      <c r="B639" t="s">
        <v>252</v>
      </c>
      <c r="C639" t="s">
        <v>252</v>
      </c>
      <c r="D639" t="s">
        <v>252</v>
      </c>
      <c r="E639" t="s">
        <v>106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1</v>
      </c>
      <c r="N639" t="s">
        <v>219</v>
      </c>
      <c r="O639">
        <v>0</v>
      </c>
    </row>
    <row r="640" spans="1:15" x14ac:dyDescent="0.2">
      <c r="A640" t="s">
        <v>471</v>
      </c>
      <c r="B640" t="s">
        <v>588</v>
      </c>
      <c r="C640" t="s">
        <v>151</v>
      </c>
      <c r="D640" t="s">
        <v>625</v>
      </c>
      <c r="E640" t="s">
        <v>742</v>
      </c>
      <c r="F640">
        <v>0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1</v>
      </c>
      <c r="N640" t="s">
        <v>1145</v>
      </c>
      <c r="O640">
        <v>0</v>
      </c>
    </row>
    <row r="641" spans="1:15" x14ac:dyDescent="0.2">
      <c r="A641" t="s">
        <v>473</v>
      </c>
      <c r="B641" t="s">
        <v>178</v>
      </c>
      <c r="C641" t="s">
        <v>252</v>
      </c>
      <c r="D641" t="s">
        <v>213</v>
      </c>
      <c r="E641" t="s">
        <v>154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1</v>
      </c>
      <c r="N641" t="s">
        <v>744</v>
      </c>
      <c r="O641">
        <v>0</v>
      </c>
    </row>
    <row r="642" spans="1:15" x14ac:dyDescent="0.2">
      <c r="A642" t="s">
        <v>473</v>
      </c>
      <c r="B642" t="s">
        <v>602</v>
      </c>
      <c r="C642" t="s">
        <v>252</v>
      </c>
      <c r="D642" t="s">
        <v>193</v>
      </c>
      <c r="E642" t="s">
        <v>154</v>
      </c>
      <c r="F642">
        <v>0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0</v>
      </c>
      <c r="N642" t="s">
        <v>1146</v>
      </c>
      <c r="O642">
        <v>0</v>
      </c>
    </row>
    <row r="643" spans="1:15" x14ac:dyDescent="0.2">
      <c r="A643" t="s">
        <v>514</v>
      </c>
      <c r="B643" t="s">
        <v>582</v>
      </c>
      <c r="C643" t="s">
        <v>252</v>
      </c>
      <c r="D643" t="s">
        <v>1147</v>
      </c>
      <c r="E643" t="s">
        <v>531</v>
      </c>
      <c r="F643">
        <v>1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0</v>
      </c>
      <c r="N643" t="s">
        <v>1148</v>
      </c>
      <c r="O643">
        <v>0</v>
      </c>
    </row>
    <row r="644" spans="1:15" x14ac:dyDescent="0.2">
      <c r="A644" t="s">
        <v>502</v>
      </c>
      <c r="B644" t="s">
        <v>233</v>
      </c>
      <c r="C644" t="s">
        <v>213</v>
      </c>
      <c r="D644" t="s">
        <v>1149</v>
      </c>
      <c r="E644" t="s">
        <v>125</v>
      </c>
      <c r="F644">
        <v>1</v>
      </c>
      <c r="G644">
        <v>0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1</v>
      </c>
      <c r="N644" t="s">
        <v>263</v>
      </c>
      <c r="O644">
        <v>0</v>
      </c>
    </row>
    <row r="645" spans="1:15" x14ac:dyDescent="0.2">
      <c r="A645" t="s">
        <v>521</v>
      </c>
      <c r="B645" t="s">
        <v>909</v>
      </c>
      <c r="C645" t="s">
        <v>252</v>
      </c>
      <c r="D645" t="s">
        <v>1150</v>
      </c>
      <c r="E645" t="s">
        <v>133</v>
      </c>
      <c r="F645">
        <v>0</v>
      </c>
      <c r="G645">
        <v>1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0</v>
      </c>
      <c r="N645" t="s">
        <v>792</v>
      </c>
      <c r="O645">
        <v>0</v>
      </c>
    </row>
    <row r="646" spans="1:15" x14ac:dyDescent="0.2">
      <c r="A646" t="s">
        <v>500</v>
      </c>
      <c r="B646" t="s">
        <v>255</v>
      </c>
      <c r="C646" t="s">
        <v>252</v>
      </c>
      <c r="D646" t="s">
        <v>259</v>
      </c>
      <c r="E646" t="s">
        <v>193</v>
      </c>
      <c r="F646">
        <v>1</v>
      </c>
      <c r="G646">
        <v>0</v>
      </c>
      <c r="H646">
        <v>1</v>
      </c>
      <c r="I646">
        <v>0</v>
      </c>
      <c r="J646">
        <v>1</v>
      </c>
      <c r="K646">
        <v>0</v>
      </c>
      <c r="L646">
        <v>0</v>
      </c>
      <c r="M646">
        <v>0</v>
      </c>
      <c r="N646" t="s">
        <v>1151</v>
      </c>
      <c r="O646">
        <v>0</v>
      </c>
    </row>
    <row r="647" spans="1:15" x14ac:dyDescent="0.2">
      <c r="A647" t="s">
        <v>526</v>
      </c>
      <c r="B647" t="s">
        <v>254</v>
      </c>
      <c r="C647" t="s">
        <v>151</v>
      </c>
      <c r="D647" t="s">
        <v>841</v>
      </c>
      <c r="E647" t="s">
        <v>255</v>
      </c>
      <c r="F647">
        <v>0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0</v>
      </c>
      <c r="N647" t="s">
        <v>1152</v>
      </c>
      <c r="O647">
        <v>0</v>
      </c>
    </row>
    <row r="648" spans="1:15" x14ac:dyDescent="0.2">
      <c r="A648" t="s">
        <v>253</v>
      </c>
      <c r="B648" t="s">
        <v>805</v>
      </c>
      <c r="C648" t="s">
        <v>252</v>
      </c>
      <c r="D648" t="s">
        <v>839</v>
      </c>
      <c r="E648" t="s">
        <v>161</v>
      </c>
      <c r="F648">
        <v>0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 t="s">
        <v>288</v>
      </c>
      <c r="O648">
        <v>0</v>
      </c>
    </row>
    <row r="649" spans="1:15" x14ac:dyDescent="0.2">
      <c r="A649" t="s">
        <v>458</v>
      </c>
      <c r="B649" t="s">
        <v>1091</v>
      </c>
      <c r="C649" t="s">
        <v>224</v>
      </c>
      <c r="D649" t="s">
        <v>1149</v>
      </c>
      <c r="E649" t="s">
        <v>178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1</v>
      </c>
      <c r="N649" t="s">
        <v>1153</v>
      </c>
      <c r="O649">
        <v>0</v>
      </c>
    </row>
    <row r="650" spans="1:15" x14ac:dyDescent="0.2">
      <c r="A650" t="s">
        <v>458</v>
      </c>
      <c r="B650" t="s">
        <v>125</v>
      </c>
      <c r="C650" t="s">
        <v>252</v>
      </c>
      <c r="D650" t="s">
        <v>590</v>
      </c>
      <c r="E650" t="s">
        <v>103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 t="s">
        <v>1154</v>
      </c>
      <c r="O650">
        <v>0</v>
      </c>
    </row>
    <row r="651" spans="1:15" x14ac:dyDescent="0.2">
      <c r="A651" t="s">
        <v>458</v>
      </c>
      <c r="B651" t="s">
        <v>255</v>
      </c>
      <c r="C651" t="s">
        <v>213</v>
      </c>
      <c r="D651" t="s">
        <v>469</v>
      </c>
      <c r="E651" t="s">
        <v>536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1</v>
      </c>
      <c r="N651" t="s">
        <v>551</v>
      </c>
      <c r="O651">
        <v>0</v>
      </c>
    </row>
    <row r="652" spans="1:15" x14ac:dyDescent="0.2">
      <c r="A652" t="s">
        <v>554</v>
      </c>
      <c r="B652" t="s">
        <v>552</v>
      </c>
      <c r="C652" t="s">
        <v>151</v>
      </c>
      <c r="D652" t="s">
        <v>484</v>
      </c>
      <c r="E652" t="s">
        <v>133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1</v>
      </c>
      <c r="N652" t="s">
        <v>1155</v>
      </c>
      <c r="O652">
        <v>0</v>
      </c>
    </row>
    <row r="653" spans="1:15" x14ac:dyDescent="0.2">
      <c r="A653" t="s">
        <v>523</v>
      </c>
      <c r="B653" t="s">
        <v>216</v>
      </c>
      <c r="C653" t="s">
        <v>307</v>
      </c>
      <c r="D653" t="s">
        <v>154</v>
      </c>
      <c r="E653" t="s">
        <v>92</v>
      </c>
      <c r="F653">
        <v>0</v>
      </c>
      <c r="G653">
        <v>1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 t="s">
        <v>1156</v>
      </c>
      <c r="O653">
        <v>0</v>
      </c>
    </row>
    <row r="654" spans="1:15" x14ac:dyDescent="0.2">
      <c r="A654" t="s">
        <v>536</v>
      </c>
      <c r="B654" t="s">
        <v>129</v>
      </c>
      <c r="C654" t="s">
        <v>252</v>
      </c>
      <c r="D654" t="s">
        <v>103</v>
      </c>
      <c r="E654" t="s">
        <v>503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1</v>
      </c>
      <c r="N654" t="s">
        <v>789</v>
      </c>
      <c r="O654">
        <v>0</v>
      </c>
    </row>
    <row r="655" spans="1:15" x14ac:dyDescent="0.2">
      <c r="A655" t="s">
        <v>462</v>
      </c>
      <c r="B655" t="s">
        <v>691</v>
      </c>
      <c r="C655" t="s">
        <v>125</v>
      </c>
      <c r="D655" t="s">
        <v>290</v>
      </c>
      <c r="E655" t="s">
        <v>233</v>
      </c>
      <c r="F655">
        <v>0</v>
      </c>
      <c r="G655">
        <v>1</v>
      </c>
      <c r="H655">
        <v>0</v>
      </c>
      <c r="I655">
        <v>1</v>
      </c>
      <c r="J655">
        <v>0</v>
      </c>
      <c r="K655">
        <v>0</v>
      </c>
      <c r="L655">
        <v>1</v>
      </c>
      <c r="M655">
        <v>1</v>
      </c>
      <c r="N655" t="s">
        <v>459</v>
      </c>
      <c r="O655">
        <v>0</v>
      </c>
    </row>
    <row r="656" spans="1:15" x14ac:dyDescent="0.2">
      <c r="A656" t="s">
        <v>578</v>
      </c>
      <c r="B656" t="s">
        <v>526</v>
      </c>
      <c r="C656" t="s">
        <v>528</v>
      </c>
      <c r="D656" t="s">
        <v>554</v>
      </c>
      <c r="E656" t="s">
        <v>233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1</v>
      </c>
      <c r="N656" t="s">
        <v>199</v>
      </c>
      <c r="O656">
        <v>0</v>
      </c>
    </row>
    <row r="657" spans="1:15" x14ac:dyDescent="0.2">
      <c r="A657" t="s">
        <v>458</v>
      </c>
      <c r="B657" t="s">
        <v>469</v>
      </c>
      <c r="C657" t="s">
        <v>307</v>
      </c>
      <c r="D657" t="s">
        <v>469</v>
      </c>
      <c r="E657" t="s">
        <v>602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1</v>
      </c>
      <c r="N657" t="s">
        <v>1157</v>
      </c>
      <c r="O657">
        <v>0</v>
      </c>
    </row>
    <row r="658" spans="1:15" x14ac:dyDescent="0.2">
      <c r="A658" t="s">
        <v>536</v>
      </c>
      <c r="B658" t="s">
        <v>469</v>
      </c>
      <c r="C658" t="s">
        <v>252</v>
      </c>
      <c r="D658" t="s">
        <v>469</v>
      </c>
      <c r="E658" t="s">
        <v>233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1</v>
      </c>
      <c r="N658" t="s">
        <v>1036</v>
      </c>
      <c r="O658">
        <v>0</v>
      </c>
    </row>
    <row r="659" spans="1:15" x14ac:dyDescent="0.2">
      <c r="A659" t="s">
        <v>519</v>
      </c>
      <c r="B659" t="s">
        <v>802</v>
      </c>
      <c r="C659" t="s">
        <v>484</v>
      </c>
      <c r="D659" t="s">
        <v>1158</v>
      </c>
      <c r="E659" t="s">
        <v>296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N659" t="s">
        <v>1159</v>
      </c>
      <c r="O659">
        <v>0</v>
      </c>
    </row>
    <row r="660" spans="1:15" x14ac:dyDescent="0.2">
      <c r="A660" t="s">
        <v>460</v>
      </c>
      <c r="B660" t="s">
        <v>503</v>
      </c>
      <c r="C660" t="s">
        <v>213</v>
      </c>
      <c r="D660" t="s">
        <v>539</v>
      </c>
      <c r="E660" t="s">
        <v>460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1</v>
      </c>
      <c r="N660" t="s">
        <v>1160</v>
      </c>
      <c r="O660">
        <v>0</v>
      </c>
    </row>
    <row r="661" spans="1:15" x14ac:dyDescent="0.2">
      <c r="A661" t="s">
        <v>517</v>
      </c>
      <c r="B661" t="s">
        <v>115</v>
      </c>
      <c r="C661" t="s">
        <v>213</v>
      </c>
      <c r="D661" t="s">
        <v>511</v>
      </c>
      <c r="E661" t="s">
        <v>460</v>
      </c>
      <c r="F661">
        <v>1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1</v>
      </c>
      <c r="M661">
        <v>1</v>
      </c>
      <c r="N661" t="s">
        <v>671</v>
      </c>
      <c r="O661">
        <v>0</v>
      </c>
    </row>
    <row r="662" spans="1:15" x14ac:dyDescent="0.2">
      <c r="A662" t="s">
        <v>563</v>
      </c>
      <c r="B662" t="s">
        <v>469</v>
      </c>
      <c r="C662" t="s">
        <v>224</v>
      </c>
      <c r="D662" t="s">
        <v>942</v>
      </c>
      <c r="E662" t="s">
        <v>484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 t="s">
        <v>1161</v>
      </c>
      <c r="O662">
        <v>0</v>
      </c>
    </row>
    <row r="663" spans="1:15" x14ac:dyDescent="0.2">
      <c r="A663" t="s">
        <v>502</v>
      </c>
      <c r="B663" t="s">
        <v>254</v>
      </c>
      <c r="C663" t="s">
        <v>151</v>
      </c>
      <c r="D663" t="s">
        <v>477</v>
      </c>
      <c r="E663" t="s">
        <v>233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0</v>
      </c>
      <c r="N663" t="s">
        <v>1162</v>
      </c>
      <c r="O663">
        <v>0</v>
      </c>
    </row>
    <row r="664" spans="1:15" x14ac:dyDescent="0.2">
      <c r="A664" t="s">
        <v>460</v>
      </c>
      <c r="B664" t="s">
        <v>533</v>
      </c>
      <c r="C664" t="s">
        <v>115</v>
      </c>
      <c r="D664" t="s">
        <v>482</v>
      </c>
      <c r="E664" t="s">
        <v>460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1</v>
      </c>
      <c r="N664" t="s">
        <v>989</v>
      </c>
      <c r="O664">
        <v>0</v>
      </c>
    </row>
    <row r="665" spans="1:15" x14ac:dyDescent="0.2">
      <c r="A665" t="s">
        <v>466</v>
      </c>
      <c r="B665" t="s">
        <v>151</v>
      </c>
      <c r="C665" t="s">
        <v>213</v>
      </c>
      <c r="D665" t="s">
        <v>250</v>
      </c>
      <c r="E665" t="s">
        <v>493</v>
      </c>
      <c r="F665">
        <v>1</v>
      </c>
      <c r="G665">
        <v>0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 t="s">
        <v>1163</v>
      </c>
      <c r="O665">
        <v>0</v>
      </c>
    </row>
    <row r="666" spans="1:15" x14ac:dyDescent="0.2">
      <c r="A666" t="s">
        <v>468</v>
      </c>
      <c r="B666" t="s">
        <v>566</v>
      </c>
      <c r="C666" t="s">
        <v>252</v>
      </c>
      <c r="D666" t="s">
        <v>307</v>
      </c>
      <c r="E666" t="s">
        <v>92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0</v>
      </c>
      <c r="N666" t="s">
        <v>1164</v>
      </c>
      <c r="O666">
        <v>0</v>
      </c>
    </row>
    <row r="667" spans="1:15" x14ac:dyDescent="0.2">
      <c r="A667" t="s">
        <v>517</v>
      </c>
      <c r="B667" t="s">
        <v>489</v>
      </c>
      <c r="C667" t="s">
        <v>296</v>
      </c>
      <c r="D667" t="s">
        <v>485</v>
      </c>
      <c r="E667" t="s">
        <v>154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1</v>
      </c>
      <c r="N667" t="s">
        <v>1165</v>
      </c>
      <c r="O667">
        <v>0</v>
      </c>
    </row>
    <row r="668" spans="1:15" x14ac:dyDescent="0.2">
      <c r="A668" t="s">
        <v>526</v>
      </c>
      <c r="B668" t="s">
        <v>462</v>
      </c>
      <c r="C668" t="s">
        <v>224</v>
      </c>
      <c r="D668" t="s">
        <v>602</v>
      </c>
      <c r="E668" t="s">
        <v>125</v>
      </c>
      <c r="F668">
        <v>1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0</v>
      </c>
      <c r="N668" t="s">
        <v>1166</v>
      </c>
      <c r="O668">
        <v>0</v>
      </c>
    </row>
    <row r="669" spans="1:15" x14ac:dyDescent="0.2">
      <c r="A669" t="s">
        <v>462</v>
      </c>
      <c r="B669" t="s">
        <v>469</v>
      </c>
      <c r="C669" t="s">
        <v>125</v>
      </c>
      <c r="D669" t="s">
        <v>469</v>
      </c>
      <c r="E669" t="s">
        <v>233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1</v>
      </c>
      <c r="N669" t="s">
        <v>236</v>
      </c>
      <c r="O669">
        <v>0</v>
      </c>
    </row>
    <row r="670" spans="1:15" x14ac:dyDescent="0.2">
      <c r="A670" t="s">
        <v>530</v>
      </c>
      <c r="B670" t="s">
        <v>502</v>
      </c>
      <c r="C670" t="s">
        <v>129</v>
      </c>
      <c r="D670" t="s">
        <v>110</v>
      </c>
      <c r="E670" t="s">
        <v>154</v>
      </c>
      <c r="F670">
        <v>1</v>
      </c>
      <c r="G670">
        <v>0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 t="s">
        <v>1167</v>
      </c>
      <c r="O670">
        <v>0</v>
      </c>
    </row>
    <row r="671" spans="1:15" x14ac:dyDescent="0.2">
      <c r="A671" t="s">
        <v>495</v>
      </c>
      <c r="B671" t="s">
        <v>1069</v>
      </c>
      <c r="C671" t="s">
        <v>125</v>
      </c>
      <c r="D671" t="s">
        <v>653</v>
      </c>
      <c r="E671" t="s">
        <v>499</v>
      </c>
      <c r="F671">
        <v>0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 t="s">
        <v>1168</v>
      </c>
      <c r="O671">
        <v>0</v>
      </c>
    </row>
    <row r="672" spans="1:15" x14ac:dyDescent="0.2">
      <c r="A672" t="s">
        <v>578</v>
      </c>
      <c r="B672" t="s">
        <v>533</v>
      </c>
      <c r="C672" t="s">
        <v>115</v>
      </c>
      <c r="D672" t="s">
        <v>154</v>
      </c>
      <c r="E672" t="s">
        <v>133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1</v>
      </c>
      <c r="N672" t="s">
        <v>507</v>
      </c>
      <c r="O672">
        <v>0</v>
      </c>
    </row>
    <row r="673" spans="1:15" x14ac:dyDescent="0.2">
      <c r="A673" t="s">
        <v>519</v>
      </c>
      <c r="B673" t="s">
        <v>469</v>
      </c>
      <c r="C673" t="s">
        <v>161</v>
      </c>
      <c r="D673" t="s">
        <v>469</v>
      </c>
      <c r="E673" t="s">
        <v>154</v>
      </c>
      <c r="F673">
        <v>0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1</v>
      </c>
      <c r="M673">
        <v>0</v>
      </c>
      <c r="N673" t="s">
        <v>1049</v>
      </c>
      <c r="O673">
        <v>0</v>
      </c>
    </row>
    <row r="674" spans="1:15" x14ac:dyDescent="0.2">
      <c r="A674" t="s">
        <v>578</v>
      </c>
      <c r="B674" t="s">
        <v>552</v>
      </c>
      <c r="C674" t="s">
        <v>252</v>
      </c>
      <c r="D674" t="s">
        <v>231</v>
      </c>
      <c r="E674" t="s">
        <v>233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 t="s">
        <v>855</v>
      </c>
      <c r="O674">
        <v>0</v>
      </c>
    </row>
    <row r="675" spans="1:15" x14ac:dyDescent="0.2">
      <c r="A675" t="s">
        <v>477</v>
      </c>
      <c r="B675" t="s">
        <v>563</v>
      </c>
      <c r="C675" t="s">
        <v>129</v>
      </c>
      <c r="D675" t="s">
        <v>502</v>
      </c>
      <c r="E675" t="s">
        <v>503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 t="s">
        <v>984</v>
      </c>
      <c r="O675">
        <v>0</v>
      </c>
    </row>
    <row r="676" spans="1:15" x14ac:dyDescent="0.2">
      <c r="A676" t="s">
        <v>477</v>
      </c>
      <c r="B676" t="s">
        <v>789</v>
      </c>
      <c r="C676" t="s">
        <v>151</v>
      </c>
      <c r="D676" t="s">
        <v>830</v>
      </c>
      <c r="E676" t="s">
        <v>295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1</v>
      </c>
      <c r="N676" t="s">
        <v>601</v>
      </c>
      <c r="O676">
        <v>0</v>
      </c>
    </row>
    <row r="677" spans="1:15" x14ac:dyDescent="0.2">
      <c r="A677" t="s">
        <v>541</v>
      </c>
      <c r="B677" t="s">
        <v>1126</v>
      </c>
      <c r="C677" t="s">
        <v>252</v>
      </c>
      <c r="D677" t="s">
        <v>120</v>
      </c>
      <c r="E677" t="s">
        <v>193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1</v>
      </c>
      <c r="L677">
        <v>0</v>
      </c>
      <c r="M677">
        <v>0</v>
      </c>
      <c r="N677" t="s">
        <v>896</v>
      </c>
      <c r="O677">
        <v>0</v>
      </c>
    </row>
    <row r="678" spans="1:15" x14ac:dyDescent="0.2">
      <c r="A678" t="s">
        <v>632</v>
      </c>
      <c r="B678" t="s">
        <v>558</v>
      </c>
      <c r="C678" t="s">
        <v>528</v>
      </c>
      <c r="D678" t="s">
        <v>252</v>
      </c>
      <c r="E678" t="s">
        <v>133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1</v>
      </c>
      <c r="L678">
        <v>0</v>
      </c>
      <c r="M678">
        <v>0</v>
      </c>
      <c r="N678" t="s">
        <v>1108</v>
      </c>
      <c r="O678">
        <v>0</v>
      </c>
    </row>
    <row r="679" spans="1:15" x14ac:dyDescent="0.2">
      <c r="A679" t="s">
        <v>536</v>
      </c>
      <c r="B679" t="s">
        <v>115</v>
      </c>
      <c r="C679" t="s">
        <v>552</v>
      </c>
      <c r="D679" t="s">
        <v>590</v>
      </c>
      <c r="E679" t="s">
        <v>552</v>
      </c>
      <c r="F679">
        <v>1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 t="s">
        <v>182</v>
      </c>
      <c r="O679">
        <v>0</v>
      </c>
    </row>
    <row r="680" spans="1:15" x14ac:dyDescent="0.2">
      <c r="A680" t="s">
        <v>519</v>
      </c>
      <c r="B680" t="s">
        <v>534</v>
      </c>
      <c r="C680" t="s">
        <v>224</v>
      </c>
      <c r="D680" t="s">
        <v>523</v>
      </c>
      <c r="E680" t="s">
        <v>154</v>
      </c>
      <c r="F680">
        <v>1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0</v>
      </c>
      <c r="N680" t="s">
        <v>1084</v>
      </c>
      <c r="O680">
        <v>0</v>
      </c>
    </row>
    <row r="681" spans="1:15" x14ac:dyDescent="0.2">
      <c r="A681" t="s">
        <v>482</v>
      </c>
      <c r="B681" t="s">
        <v>607</v>
      </c>
      <c r="C681" t="s">
        <v>224</v>
      </c>
      <c r="D681" t="s">
        <v>1169</v>
      </c>
      <c r="E681" t="s">
        <v>483</v>
      </c>
      <c r="F681">
        <v>1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0</v>
      </c>
      <c r="M681">
        <v>0</v>
      </c>
      <c r="N681" t="s">
        <v>1170</v>
      </c>
      <c r="O681">
        <v>0</v>
      </c>
    </row>
    <row r="682" spans="1:15" x14ac:dyDescent="0.2">
      <c r="A682" t="s">
        <v>519</v>
      </c>
      <c r="B682" t="s">
        <v>528</v>
      </c>
      <c r="C682" t="s">
        <v>528</v>
      </c>
      <c r="D682" t="s">
        <v>483</v>
      </c>
      <c r="E682" t="s">
        <v>92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0</v>
      </c>
      <c r="M682">
        <v>0</v>
      </c>
      <c r="N682" t="s">
        <v>1171</v>
      </c>
      <c r="O682">
        <v>0</v>
      </c>
    </row>
    <row r="683" spans="1:15" x14ac:dyDescent="0.2">
      <c r="A683" t="s">
        <v>602</v>
      </c>
      <c r="B683" t="s">
        <v>1172</v>
      </c>
      <c r="C683" t="s">
        <v>252</v>
      </c>
      <c r="D683" t="s">
        <v>279</v>
      </c>
      <c r="E683" t="s">
        <v>500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1</v>
      </c>
      <c r="L683">
        <v>0</v>
      </c>
      <c r="M683">
        <v>1</v>
      </c>
      <c r="N683" t="s">
        <v>186</v>
      </c>
      <c r="O683">
        <v>0</v>
      </c>
    </row>
    <row r="684" spans="1:15" x14ac:dyDescent="0.2">
      <c r="A684" t="s">
        <v>632</v>
      </c>
      <c r="B684" t="s">
        <v>101</v>
      </c>
      <c r="C684" t="s">
        <v>224</v>
      </c>
      <c r="D684" t="s">
        <v>255</v>
      </c>
      <c r="E684" t="s">
        <v>154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 t="s">
        <v>1173</v>
      </c>
      <c r="O684">
        <v>0</v>
      </c>
    </row>
    <row r="685" spans="1:15" x14ac:dyDescent="0.2">
      <c r="A685" t="s">
        <v>477</v>
      </c>
      <c r="B685" t="s">
        <v>462</v>
      </c>
      <c r="C685" t="s">
        <v>250</v>
      </c>
      <c r="D685" t="s">
        <v>224</v>
      </c>
      <c r="E685" t="s">
        <v>253</v>
      </c>
      <c r="F685">
        <v>1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1</v>
      </c>
      <c r="M685">
        <v>1</v>
      </c>
      <c r="N685" t="s">
        <v>1174</v>
      </c>
      <c r="O685">
        <v>0</v>
      </c>
    </row>
    <row r="686" spans="1:15" x14ac:dyDescent="0.2">
      <c r="A686" t="s">
        <v>471</v>
      </c>
      <c r="B686" t="s">
        <v>469</v>
      </c>
      <c r="C686" t="s">
        <v>115</v>
      </c>
      <c r="D686" t="s">
        <v>469</v>
      </c>
      <c r="E686" t="s">
        <v>154</v>
      </c>
      <c r="F686">
        <v>1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1</v>
      </c>
      <c r="N686" t="s">
        <v>1175</v>
      </c>
      <c r="O686">
        <v>0</v>
      </c>
    </row>
    <row r="687" spans="1:15" x14ac:dyDescent="0.2">
      <c r="A687" t="s">
        <v>559</v>
      </c>
      <c r="B687" t="s">
        <v>996</v>
      </c>
      <c r="C687" t="s">
        <v>252</v>
      </c>
      <c r="D687" t="s">
        <v>536</v>
      </c>
      <c r="E687" t="s">
        <v>485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1</v>
      </c>
      <c r="N687" t="s">
        <v>1176</v>
      </c>
      <c r="O687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7A3D-DA17-9D4E-A60B-0E0D8F0061BD}">
  <dimension ref="A1:G73"/>
  <sheetViews>
    <sheetView tabSelected="1" workbookViewId="0">
      <selection activeCell="D12" sqref="D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</row>
    <row r="2" spans="1:7" x14ac:dyDescent="0.2">
      <c r="A2" s="1">
        <v>26665</v>
      </c>
      <c r="B2" t="s">
        <v>2</v>
      </c>
      <c r="D2" s="3" t="str" cm="1">
        <f t="array" ref="D2:G8">_xldudf_TECHTO_FORECAST(A1:B73,"Ridge",5,20,,,6,FALSE)</f>
        <v>date</v>
      </c>
      <c r="E2" t="str">
        <v>mean</v>
      </c>
      <c r="F2" t="str">
        <v>lower</v>
      </c>
      <c r="G2" t="str">
        <v>upper</v>
      </c>
    </row>
    <row r="3" spans="1:7" x14ac:dyDescent="0.2">
      <c r="A3" s="1">
        <v>26696</v>
      </c>
      <c r="B3" t="s">
        <v>3</v>
      </c>
      <c r="D3" t="str">
        <v>1979-01-01</v>
      </c>
      <c r="E3">
        <v>7906.8902034994926</v>
      </c>
      <c r="F3">
        <v>7326.126148055153</v>
      </c>
      <c r="G3">
        <v>8297.9923224504</v>
      </c>
    </row>
    <row r="4" spans="1:7" x14ac:dyDescent="0.2">
      <c r="A4" s="1">
        <v>26724</v>
      </c>
      <c r="B4" t="s">
        <v>4</v>
      </c>
      <c r="D4" t="str">
        <v>1979-02-01</v>
      </c>
      <c r="E4">
        <v>7583.8343529130243</v>
      </c>
      <c r="F4">
        <v>7365.9454032728554</v>
      </c>
      <c r="G4">
        <v>7984.0989238474294</v>
      </c>
    </row>
    <row r="5" spans="1:7" x14ac:dyDescent="0.2">
      <c r="A5" s="1">
        <v>26755</v>
      </c>
      <c r="B5" t="s">
        <v>5</v>
      </c>
      <c r="D5" t="str">
        <v>1979-03-01</v>
      </c>
      <c r="E5">
        <v>7988.4844280539792</v>
      </c>
      <c r="F5">
        <v>7846.6774347892515</v>
      </c>
      <c r="G5">
        <v>8273.1043788196021</v>
      </c>
    </row>
    <row r="6" spans="1:7" x14ac:dyDescent="0.2">
      <c r="A6" s="1">
        <v>26785</v>
      </c>
      <c r="B6" t="s">
        <v>6</v>
      </c>
      <c r="D6" t="str">
        <v>1979-04-01</v>
      </c>
      <c r="E6">
        <v>7818.9874263521006</v>
      </c>
      <c r="F6">
        <v>7499.1378601253273</v>
      </c>
      <c r="G6">
        <v>8054.0863777588438</v>
      </c>
    </row>
    <row r="7" spans="1:7" x14ac:dyDescent="0.2">
      <c r="A7" s="1">
        <v>26816</v>
      </c>
      <c r="B7" t="s">
        <v>7</v>
      </c>
      <c r="D7" t="str">
        <v>1979-05-01</v>
      </c>
      <c r="E7">
        <v>9102.8831435362554</v>
      </c>
      <c r="F7">
        <v>8778.832239865249</v>
      </c>
      <c r="G7">
        <v>9338.433480327596</v>
      </c>
    </row>
    <row r="8" spans="1:7" x14ac:dyDescent="0.2">
      <c r="A8" s="1">
        <v>26846</v>
      </c>
      <c r="B8" t="s">
        <v>8</v>
      </c>
      <c r="D8" t="str">
        <v>1979-06-01</v>
      </c>
      <c r="E8">
        <v>9240.1351442372397</v>
      </c>
      <c r="F8">
        <v>8840.8754700981081</v>
      </c>
      <c r="G8">
        <v>9582.1729853296329</v>
      </c>
    </row>
    <row r="9" spans="1:7" x14ac:dyDescent="0.2">
      <c r="A9" s="1">
        <v>26877</v>
      </c>
      <c r="B9" t="s">
        <v>9</v>
      </c>
    </row>
    <row r="10" spans="1:7" x14ac:dyDescent="0.2">
      <c r="A10" s="1">
        <v>26908</v>
      </c>
      <c r="B10" t="s">
        <v>10</v>
      </c>
      <c r="D10" s="3" t="e" cm="1">
        <f t="array" ref="D10">_xldudf_TECHTO_FORECAST(A1:B73,"Ridge",5,20,,20,10,TRUE)</f>
        <v>#VALUE!</v>
      </c>
    </row>
    <row r="11" spans="1:7" x14ac:dyDescent="0.2">
      <c r="A11" s="1">
        <v>26938</v>
      </c>
      <c r="B11" t="s">
        <v>11</v>
      </c>
    </row>
    <row r="12" spans="1:7" x14ac:dyDescent="0.2">
      <c r="A12" s="1">
        <v>26969</v>
      </c>
      <c r="B12" t="s">
        <v>12</v>
      </c>
    </row>
    <row r="13" spans="1:7" x14ac:dyDescent="0.2">
      <c r="A13" s="1">
        <v>26999</v>
      </c>
      <c r="B13" t="s">
        <v>13</v>
      </c>
    </row>
    <row r="14" spans="1:7" x14ac:dyDescent="0.2">
      <c r="A14" s="1">
        <v>27030</v>
      </c>
      <c r="B14" t="s">
        <v>14</v>
      </c>
    </row>
    <row r="15" spans="1:7" x14ac:dyDescent="0.2">
      <c r="A15" s="1">
        <v>27061</v>
      </c>
      <c r="B15" t="s">
        <v>15</v>
      </c>
    </row>
    <row r="16" spans="1:7" x14ac:dyDescent="0.2">
      <c r="A16" s="1">
        <v>27089</v>
      </c>
      <c r="B16" t="s">
        <v>16</v>
      </c>
    </row>
    <row r="17" spans="1:2" x14ac:dyDescent="0.2">
      <c r="A17" s="1">
        <v>27120</v>
      </c>
      <c r="B17" t="s">
        <v>17</v>
      </c>
    </row>
    <row r="18" spans="1:2" x14ac:dyDescent="0.2">
      <c r="A18" s="1">
        <v>27150</v>
      </c>
      <c r="B18" t="s">
        <v>18</v>
      </c>
    </row>
    <row r="19" spans="1:2" x14ac:dyDescent="0.2">
      <c r="A19" s="1">
        <v>27181</v>
      </c>
      <c r="B19" t="s">
        <v>19</v>
      </c>
    </row>
    <row r="20" spans="1:2" x14ac:dyDescent="0.2">
      <c r="A20" s="1">
        <v>27211</v>
      </c>
      <c r="B20" t="s">
        <v>20</v>
      </c>
    </row>
    <row r="21" spans="1:2" x14ac:dyDescent="0.2">
      <c r="A21" s="1">
        <v>27242</v>
      </c>
      <c r="B21" t="s">
        <v>21</v>
      </c>
    </row>
    <row r="22" spans="1:2" x14ac:dyDescent="0.2">
      <c r="A22" s="1">
        <v>27273</v>
      </c>
      <c r="B22" t="s">
        <v>22</v>
      </c>
    </row>
    <row r="23" spans="1:2" x14ac:dyDescent="0.2">
      <c r="A23" s="1">
        <v>27303</v>
      </c>
      <c r="B23" t="s">
        <v>23</v>
      </c>
    </row>
    <row r="24" spans="1:2" x14ac:dyDescent="0.2">
      <c r="A24" s="1">
        <v>27334</v>
      </c>
      <c r="B24" t="s">
        <v>24</v>
      </c>
    </row>
    <row r="25" spans="1:2" x14ac:dyDescent="0.2">
      <c r="A25" s="1">
        <v>27364</v>
      </c>
      <c r="B25" t="s">
        <v>25</v>
      </c>
    </row>
    <row r="26" spans="1:2" x14ac:dyDescent="0.2">
      <c r="A26" s="1">
        <v>27395</v>
      </c>
      <c r="B26" t="s">
        <v>26</v>
      </c>
    </row>
    <row r="27" spans="1:2" x14ac:dyDescent="0.2">
      <c r="A27" s="1">
        <v>27426</v>
      </c>
      <c r="B27" t="s">
        <v>27</v>
      </c>
    </row>
    <row r="28" spans="1:2" x14ac:dyDescent="0.2">
      <c r="A28" s="1">
        <v>27454</v>
      </c>
      <c r="B28" t="s">
        <v>28</v>
      </c>
    </row>
    <row r="29" spans="1:2" x14ac:dyDescent="0.2">
      <c r="A29" s="1">
        <v>27485</v>
      </c>
      <c r="B29" t="s">
        <v>29</v>
      </c>
    </row>
    <row r="30" spans="1:2" x14ac:dyDescent="0.2">
      <c r="A30" s="1">
        <v>27515</v>
      </c>
      <c r="B30" t="s">
        <v>30</v>
      </c>
    </row>
    <row r="31" spans="1:2" x14ac:dyDescent="0.2">
      <c r="A31" s="1">
        <v>27546</v>
      </c>
      <c r="B31" t="s">
        <v>31</v>
      </c>
    </row>
    <row r="32" spans="1:2" x14ac:dyDescent="0.2">
      <c r="A32" s="1">
        <v>27576</v>
      </c>
      <c r="B32" t="s">
        <v>32</v>
      </c>
    </row>
    <row r="33" spans="1:2" x14ac:dyDescent="0.2">
      <c r="A33" s="1">
        <v>27607</v>
      </c>
      <c r="B33" t="s">
        <v>33</v>
      </c>
    </row>
    <row r="34" spans="1:2" x14ac:dyDescent="0.2">
      <c r="A34" s="1">
        <v>27638</v>
      </c>
      <c r="B34" t="s">
        <v>34</v>
      </c>
    </row>
    <row r="35" spans="1:2" x14ac:dyDescent="0.2">
      <c r="A35" s="1">
        <v>27668</v>
      </c>
      <c r="B35" t="s">
        <v>35</v>
      </c>
    </row>
    <row r="36" spans="1:2" x14ac:dyDescent="0.2">
      <c r="A36" s="1">
        <v>27699</v>
      </c>
      <c r="B36" t="s">
        <v>36</v>
      </c>
    </row>
    <row r="37" spans="1:2" x14ac:dyDescent="0.2">
      <c r="A37" s="1">
        <v>27729</v>
      </c>
      <c r="B37" t="s">
        <v>37</v>
      </c>
    </row>
    <row r="38" spans="1:2" x14ac:dyDescent="0.2">
      <c r="A38" s="1">
        <v>27760</v>
      </c>
      <c r="B38" t="s">
        <v>38</v>
      </c>
    </row>
    <row r="39" spans="1:2" x14ac:dyDescent="0.2">
      <c r="A39" s="1">
        <v>27791</v>
      </c>
      <c r="B39" t="s">
        <v>39</v>
      </c>
    </row>
    <row r="40" spans="1:2" x14ac:dyDescent="0.2">
      <c r="A40" s="1">
        <v>27820</v>
      </c>
      <c r="B40" t="s">
        <v>40</v>
      </c>
    </row>
    <row r="41" spans="1:2" x14ac:dyDescent="0.2">
      <c r="A41" s="1">
        <v>27851</v>
      </c>
      <c r="B41" t="s">
        <v>41</v>
      </c>
    </row>
    <row r="42" spans="1:2" x14ac:dyDescent="0.2">
      <c r="A42" s="1">
        <v>27881</v>
      </c>
      <c r="B42" t="s">
        <v>42</v>
      </c>
    </row>
    <row r="43" spans="1:2" x14ac:dyDescent="0.2">
      <c r="A43" s="1">
        <v>27912</v>
      </c>
      <c r="B43" t="s">
        <v>43</v>
      </c>
    </row>
    <row r="44" spans="1:2" x14ac:dyDescent="0.2">
      <c r="A44" s="1">
        <v>27942</v>
      </c>
      <c r="B44" t="s">
        <v>44</v>
      </c>
    </row>
    <row r="45" spans="1:2" x14ac:dyDescent="0.2">
      <c r="A45" s="1">
        <v>27973</v>
      </c>
      <c r="B45" t="s">
        <v>45</v>
      </c>
    </row>
    <row r="46" spans="1:2" x14ac:dyDescent="0.2">
      <c r="A46" s="1">
        <v>28004</v>
      </c>
      <c r="B46" t="s">
        <v>46</v>
      </c>
    </row>
    <row r="47" spans="1:2" x14ac:dyDescent="0.2">
      <c r="A47" s="1">
        <v>28034</v>
      </c>
      <c r="B47" t="s">
        <v>47</v>
      </c>
    </row>
    <row r="48" spans="1:2" x14ac:dyDescent="0.2">
      <c r="A48" s="1">
        <v>28065</v>
      </c>
      <c r="B48" t="s">
        <v>48</v>
      </c>
    </row>
    <row r="49" spans="1:2" x14ac:dyDescent="0.2">
      <c r="A49" s="1">
        <v>28095</v>
      </c>
      <c r="B49" t="s">
        <v>49</v>
      </c>
    </row>
    <row r="50" spans="1:2" x14ac:dyDescent="0.2">
      <c r="A50" s="1">
        <v>28126</v>
      </c>
      <c r="B50" t="s">
        <v>50</v>
      </c>
    </row>
    <row r="51" spans="1:2" x14ac:dyDescent="0.2">
      <c r="A51" s="1">
        <v>28157</v>
      </c>
      <c r="B51" t="s">
        <v>51</v>
      </c>
    </row>
    <row r="52" spans="1:2" x14ac:dyDescent="0.2">
      <c r="A52" s="1">
        <v>28185</v>
      </c>
      <c r="B52" t="s">
        <v>52</v>
      </c>
    </row>
    <row r="53" spans="1:2" x14ac:dyDescent="0.2">
      <c r="A53" s="1">
        <v>28216</v>
      </c>
      <c r="B53" t="s">
        <v>3</v>
      </c>
    </row>
    <row r="54" spans="1:2" x14ac:dyDescent="0.2">
      <c r="A54" s="1">
        <v>28246</v>
      </c>
      <c r="B54" t="s">
        <v>53</v>
      </c>
    </row>
    <row r="55" spans="1:2" x14ac:dyDescent="0.2">
      <c r="A55" s="1">
        <v>28277</v>
      </c>
      <c r="B55" t="s">
        <v>54</v>
      </c>
    </row>
    <row r="56" spans="1:2" x14ac:dyDescent="0.2">
      <c r="A56" s="1">
        <v>28307</v>
      </c>
      <c r="B56" t="s">
        <v>55</v>
      </c>
    </row>
    <row r="57" spans="1:2" x14ac:dyDescent="0.2">
      <c r="A57" s="1">
        <v>28338</v>
      </c>
      <c r="B57" t="s">
        <v>56</v>
      </c>
    </row>
    <row r="58" spans="1:2" x14ac:dyDescent="0.2">
      <c r="A58" s="1">
        <v>28369</v>
      </c>
      <c r="B58" t="s">
        <v>57</v>
      </c>
    </row>
    <row r="59" spans="1:2" x14ac:dyDescent="0.2">
      <c r="A59" s="1">
        <v>28399</v>
      </c>
      <c r="B59" t="s">
        <v>58</v>
      </c>
    </row>
    <row r="60" spans="1:2" x14ac:dyDescent="0.2">
      <c r="A60" s="1">
        <v>28430</v>
      </c>
      <c r="B60" t="s">
        <v>59</v>
      </c>
    </row>
    <row r="61" spans="1:2" x14ac:dyDescent="0.2">
      <c r="A61" s="1">
        <v>28460</v>
      </c>
      <c r="B61" t="s">
        <v>60</v>
      </c>
    </row>
    <row r="62" spans="1:2" x14ac:dyDescent="0.2">
      <c r="A62" s="1">
        <v>28491</v>
      </c>
      <c r="B62" t="s">
        <v>61</v>
      </c>
    </row>
    <row r="63" spans="1:2" x14ac:dyDescent="0.2">
      <c r="A63" s="1">
        <v>28522</v>
      </c>
      <c r="B63" t="s">
        <v>62</v>
      </c>
    </row>
    <row r="64" spans="1:2" x14ac:dyDescent="0.2">
      <c r="A64" s="1">
        <v>28550</v>
      </c>
      <c r="B64" t="s">
        <v>63</v>
      </c>
    </row>
    <row r="65" spans="1:2" x14ac:dyDescent="0.2">
      <c r="A65" s="1">
        <v>28581</v>
      </c>
      <c r="B65" t="s">
        <v>64</v>
      </c>
    </row>
    <row r="66" spans="1:2" x14ac:dyDescent="0.2">
      <c r="A66" s="1">
        <v>28611</v>
      </c>
      <c r="B66" t="s">
        <v>65</v>
      </c>
    </row>
    <row r="67" spans="1:2" x14ac:dyDescent="0.2">
      <c r="A67" s="1">
        <v>28642</v>
      </c>
      <c r="B67" t="s">
        <v>66</v>
      </c>
    </row>
    <row r="68" spans="1:2" x14ac:dyDescent="0.2">
      <c r="A68" s="1">
        <v>28672</v>
      </c>
      <c r="B68" t="s">
        <v>67</v>
      </c>
    </row>
    <row r="69" spans="1:2" x14ac:dyDescent="0.2">
      <c r="A69" s="1">
        <v>28703</v>
      </c>
      <c r="B69" t="s">
        <v>68</v>
      </c>
    </row>
    <row r="70" spans="1:2" x14ac:dyDescent="0.2">
      <c r="A70" s="1">
        <v>28734</v>
      </c>
      <c r="B70" t="s">
        <v>69</v>
      </c>
    </row>
    <row r="71" spans="1:2" x14ac:dyDescent="0.2">
      <c r="A71" s="1">
        <v>28764</v>
      </c>
      <c r="B71" t="s">
        <v>70</v>
      </c>
    </row>
    <row r="72" spans="1:2" x14ac:dyDescent="0.2">
      <c r="A72" s="1">
        <v>28795</v>
      </c>
      <c r="B72" t="s">
        <v>71</v>
      </c>
    </row>
    <row r="73" spans="1:2" x14ac:dyDescent="0.2">
      <c r="A73" s="1">
        <v>28825</v>
      </c>
      <c r="B73" t="s">
        <v>72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F073-385F-1248-B9C4-6F72C369E2B0}">
  <dimension ref="A1:O199"/>
  <sheetViews>
    <sheetView workbookViewId="0">
      <selection activeCell="E3" sqref="E3"/>
    </sheetView>
  </sheetViews>
  <sheetFormatPr baseColWidth="10" defaultRowHeight="16" x14ac:dyDescent="0.2"/>
  <cols>
    <col min="6" max="6" width="14.33203125" customWidth="1"/>
    <col min="7" max="7" width="13.6640625" customWidth="1"/>
    <col min="8" max="8" width="16.1640625" customWidth="1"/>
    <col min="11" max="11" width="14.6640625" customWidth="1"/>
  </cols>
  <sheetData>
    <row r="1" spans="1:8" x14ac:dyDescent="0.2">
      <c r="A1" t="s">
        <v>0</v>
      </c>
      <c r="B1" t="s">
        <v>73</v>
      </c>
      <c r="C1" t="s">
        <v>74</v>
      </c>
    </row>
    <row r="2" spans="1:8" x14ac:dyDescent="0.2">
      <c r="A2" s="1">
        <v>37987</v>
      </c>
      <c r="B2">
        <v>27</v>
      </c>
      <c r="C2">
        <v>13</v>
      </c>
      <c r="E2" s="3" t="e" cm="1" vm="1">
        <f t="array" ref="E2">_xldudf_TECHTO_FORECAST($A$1:$C$199,"Ridge",5,20,,,6,FALSE,"icecream")</f>
        <v>#VALUE!</v>
      </c>
    </row>
    <row r="3" spans="1:8" x14ac:dyDescent="0.2">
      <c r="A3" s="1">
        <v>38018</v>
      </c>
      <c r="B3">
        <v>18</v>
      </c>
      <c r="C3">
        <v>15</v>
      </c>
    </row>
    <row r="4" spans="1:8" x14ac:dyDescent="0.2">
      <c r="A4" s="1">
        <v>38047</v>
      </c>
      <c r="B4">
        <v>14</v>
      </c>
      <c r="C4">
        <v>16</v>
      </c>
    </row>
    <row r="5" spans="1:8" x14ac:dyDescent="0.2">
      <c r="A5" s="1">
        <v>38078</v>
      </c>
      <c r="B5">
        <v>13</v>
      </c>
      <c r="C5">
        <v>19</v>
      </c>
    </row>
    <row r="6" spans="1:8" x14ac:dyDescent="0.2">
      <c r="A6" s="1">
        <v>38108</v>
      </c>
      <c r="B6">
        <v>13</v>
      </c>
      <c r="C6">
        <v>21</v>
      </c>
    </row>
    <row r="7" spans="1:8" x14ac:dyDescent="0.2">
      <c r="A7" s="1">
        <v>38139</v>
      </c>
      <c r="B7">
        <v>13</v>
      </c>
      <c r="C7">
        <v>24</v>
      </c>
    </row>
    <row r="8" spans="1:8" x14ac:dyDescent="0.2">
      <c r="A8" s="1">
        <v>38169</v>
      </c>
      <c r="B8">
        <v>13</v>
      </c>
      <c r="C8">
        <v>27</v>
      </c>
    </row>
    <row r="9" spans="1:8" x14ac:dyDescent="0.2">
      <c r="A9" s="1">
        <v>38200</v>
      </c>
      <c r="B9">
        <v>14</v>
      </c>
      <c r="C9">
        <v>20</v>
      </c>
    </row>
    <row r="10" spans="1:8" x14ac:dyDescent="0.2">
      <c r="A10" s="1">
        <v>38231</v>
      </c>
      <c r="B10">
        <v>15</v>
      </c>
      <c r="C10">
        <v>18</v>
      </c>
    </row>
    <row r="11" spans="1:8" x14ac:dyDescent="0.2">
      <c r="A11" s="1">
        <v>38261</v>
      </c>
      <c r="B11">
        <v>20</v>
      </c>
      <c r="C11">
        <v>15</v>
      </c>
      <c r="E11" s="3" t="str" cm="1">
        <f t="array" ref="E11:H17">_xldudf_TECHTO_FORECAST($A$1:$C$99,"Ridge",5,20,,,6,FALSE,"heater")</f>
        <v>date</v>
      </c>
      <c r="F11" t="str">
        <v>mean</v>
      </c>
      <c r="G11" t="str">
        <v>lower</v>
      </c>
      <c r="H11" t="str">
        <v>upper</v>
      </c>
    </row>
    <row r="12" spans="1:8" x14ac:dyDescent="0.2">
      <c r="A12" s="1">
        <v>38292</v>
      </c>
      <c r="B12">
        <v>24</v>
      </c>
      <c r="C12">
        <v>15</v>
      </c>
      <c r="E12" t="str">
        <v>2012-03-01</v>
      </c>
      <c r="F12">
        <v>15.589942627335333</v>
      </c>
      <c r="G12">
        <v>13.291621669263725</v>
      </c>
      <c r="H12">
        <v>17.871950436646475</v>
      </c>
    </row>
    <row r="13" spans="1:8" x14ac:dyDescent="0.2">
      <c r="A13" s="1">
        <v>38322</v>
      </c>
      <c r="B13">
        <v>29</v>
      </c>
      <c r="C13">
        <v>14</v>
      </c>
      <c r="E13" t="str">
        <v>2012-04-01</v>
      </c>
      <c r="F13">
        <v>9.0118500702492952</v>
      </c>
      <c r="G13">
        <v>5.8682353595399128</v>
      </c>
      <c r="H13">
        <v>11.895928830947458</v>
      </c>
    </row>
    <row r="14" spans="1:8" x14ac:dyDescent="0.2">
      <c r="A14" s="1">
        <v>38353</v>
      </c>
      <c r="B14">
        <v>27</v>
      </c>
      <c r="C14">
        <v>15</v>
      </c>
      <c r="E14" t="str">
        <v>2012-05-01</v>
      </c>
      <c r="F14">
        <v>13.700570111048069</v>
      </c>
      <c r="G14">
        <v>11.938635382598571</v>
      </c>
      <c r="H14">
        <v>14.839434540740502</v>
      </c>
    </row>
    <row r="15" spans="1:8" x14ac:dyDescent="0.2">
      <c r="A15" s="1">
        <v>38384</v>
      </c>
      <c r="B15">
        <v>17</v>
      </c>
      <c r="C15">
        <v>15</v>
      </c>
      <c r="E15" t="str">
        <v>2012-06-01</v>
      </c>
      <c r="F15">
        <v>8.24473712554604</v>
      </c>
      <c r="G15">
        <v>6.2231070129737427</v>
      </c>
      <c r="H15">
        <v>11.099130787806628</v>
      </c>
    </row>
    <row r="16" spans="1:8" x14ac:dyDescent="0.2">
      <c r="A16" s="1">
        <v>38412</v>
      </c>
      <c r="B16">
        <v>15</v>
      </c>
      <c r="C16">
        <v>17</v>
      </c>
      <c r="E16" t="str">
        <v>2012-07-01</v>
      </c>
      <c r="F16">
        <v>9.8869076196077952</v>
      </c>
      <c r="G16">
        <v>7.6994438664329312</v>
      </c>
      <c r="H16">
        <v>11.88628949829474</v>
      </c>
    </row>
    <row r="17" spans="1:15" x14ac:dyDescent="0.2">
      <c r="A17" s="1">
        <v>38443</v>
      </c>
      <c r="B17">
        <v>14</v>
      </c>
      <c r="C17">
        <v>19</v>
      </c>
      <c r="E17" t="str">
        <v>2012-08-01</v>
      </c>
      <c r="F17">
        <v>15.042170730936348</v>
      </c>
      <c r="G17">
        <v>12.690702837626766</v>
      </c>
      <c r="H17">
        <v>16.947958385017827</v>
      </c>
    </row>
    <row r="18" spans="1:15" x14ac:dyDescent="0.2">
      <c r="A18" s="1">
        <v>38473</v>
      </c>
      <c r="B18">
        <v>13</v>
      </c>
      <c r="C18">
        <v>22</v>
      </c>
    </row>
    <row r="19" spans="1:15" x14ac:dyDescent="0.2">
      <c r="A19" s="1">
        <v>38504</v>
      </c>
      <c r="B19">
        <v>13</v>
      </c>
      <c r="C19">
        <v>28</v>
      </c>
    </row>
    <row r="20" spans="1:15" x14ac:dyDescent="0.2">
      <c r="A20" s="1">
        <v>38534</v>
      </c>
      <c r="B20">
        <v>12</v>
      </c>
      <c r="C20">
        <v>29</v>
      </c>
      <c r="E20" s="3" t="str" cm="1">
        <f t="array" ref="E20:O26">_xldudf_TECHTO_FORECAST($A$1:$C$99,"Ridge",5,20,,,6,TRUE,"icecream")</f>
        <v>date</v>
      </c>
      <c r="F20" t="str">
        <v>sim_1_icecream</v>
      </c>
      <c r="G20" t="str">
        <v>sim_2_icecream</v>
      </c>
      <c r="H20" t="str">
        <v>sim_3_icecream</v>
      </c>
      <c r="I20" t="str">
        <v>sim_4_icecream</v>
      </c>
      <c r="J20" t="str">
        <v>sim_5_icecream</v>
      </c>
      <c r="K20" t="str">
        <v>sim_6_icecream</v>
      </c>
      <c r="L20" t="str">
        <v>sim_7_icecream</v>
      </c>
      <c r="M20" t="str">
        <v>sim_8_icecream</v>
      </c>
      <c r="N20" t="str">
        <v>sim_9_icecream</v>
      </c>
      <c r="O20" t="str">
        <v>sim_10_icecream</v>
      </c>
    </row>
    <row r="21" spans="1:15" x14ac:dyDescent="0.2">
      <c r="A21" s="1">
        <v>38565</v>
      </c>
      <c r="B21">
        <v>13</v>
      </c>
      <c r="C21">
        <v>21</v>
      </c>
      <c r="E21" t="str">
        <v>2012-03-01</v>
      </c>
      <c r="F21">
        <v>36.729147805140194</v>
      </c>
      <c r="G21">
        <v>37.650489494834439</v>
      </c>
      <c r="H21">
        <v>38.968271565535446</v>
      </c>
      <c r="I21">
        <v>39.468972419625914</v>
      </c>
      <c r="J21">
        <v>37.505480701802526</v>
      </c>
      <c r="K21">
        <v>37.920829157796938</v>
      </c>
      <c r="L21">
        <v>38.521564241760331</v>
      </c>
      <c r="M21">
        <v>40.283717718394549</v>
      </c>
      <c r="N21">
        <v>37.136612527355751</v>
      </c>
      <c r="O21">
        <v>37.31069667678409</v>
      </c>
    </row>
    <row r="22" spans="1:15" x14ac:dyDescent="0.2">
      <c r="A22" s="1">
        <v>38596</v>
      </c>
      <c r="B22">
        <v>16</v>
      </c>
      <c r="C22">
        <v>16</v>
      </c>
      <c r="E22" t="str">
        <v>2012-04-01</v>
      </c>
      <c r="F22">
        <v>36.468994234163169</v>
      </c>
      <c r="G22">
        <v>39.008786383489046</v>
      </c>
      <c r="H22">
        <v>39.205319922810745</v>
      </c>
      <c r="I22">
        <v>38.197627250444739</v>
      </c>
      <c r="J22">
        <v>38.129726112371969</v>
      </c>
      <c r="K22">
        <v>43.671238734777248</v>
      </c>
      <c r="L22">
        <v>38.823641748381895</v>
      </c>
      <c r="M22">
        <v>40.226595479769102</v>
      </c>
      <c r="N22">
        <v>41.471761176602925</v>
      </c>
      <c r="O22">
        <v>39.85274557668351</v>
      </c>
    </row>
    <row r="23" spans="1:15" x14ac:dyDescent="0.2">
      <c r="A23" s="1">
        <v>38626</v>
      </c>
      <c r="B23">
        <v>25</v>
      </c>
      <c r="C23">
        <v>14</v>
      </c>
      <c r="E23" t="str">
        <v>2012-05-01</v>
      </c>
      <c r="F23">
        <v>44.309052743819002</v>
      </c>
      <c r="G23">
        <v>43.056681564225457</v>
      </c>
      <c r="H23">
        <v>42.574852933708385</v>
      </c>
      <c r="I23">
        <v>42.973414100566089</v>
      </c>
      <c r="J23">
        <v>47.241540633520216</v>
      </c>
      <c r="K23">
        <v>41.628261166893672</v>
      </c>
      <c r="L23">
        <v>45.096422487809768</v>
      </c>
      <c r="M23">
        <v>44.059192138070067</v>
      </c>
      <c r="N23">
        <v>40.10511360881322</v>
      </c>
      <c r="O23">
        <v>43.127799846963953</v>
      </c>
    </row>
    <row r="24" spans="1:15" x14ac:dyDescent="0.2">
      <c r="A24" s="1">
        <v>38657</v>
      </c>
      <c r="B24">
        <v>25</v>
      </c>
      <c r="C24">
        <v>14</v>
      </c>
      <c r="E24" t="str">
        <v>2012-06-01</v>
      </c>
      <c r="F24">
        <v>47.401604218901078</v>
      </c>
      <c r="G24">
        <v>48.479693100360279</v>
      </c>
      <c r="H24">
        <v>48.219632270377829</v>
      </c>
      <c r="I24">
        <v>48.762816025037104</v>
      </c>
      <c r="J24">
        <v>45.984736488039793</v>
      </c>
      <c r="K24">
        <v>46.112924611680633</v>
      </c>
      <c r="L24">
        <v>47.853773226293654</v>
      </c>
      <c r="M24">
        <v>47.673731251663312</v>
      </c>
      <c r="N24">
        <v>46.031329044763915</v>
      </c>
      <c r="O24">
        <v>49.446420710503219</v>
      </c>
    </row>
    <row r="25" spans="1:15" x14ac:dyDescent="0.2">
      <c r="A25" s="1">
        <v>38687</v>
      </c>
      <c r="B25">
        <v>31</v>
      </c>
      <c r="C25">
        <v>14</v>
      </c>
      <c r="E25" t="str">
        <v>2012-07-01</v>
      </c>
      <c r="F25">
        <v>46.932620812226489</v>
      </c>
      <c r="G25">
        <v>47.577036628605157</v>
      </c>
      <c r="H25">
        <v>46.463889085663432</v>
      </c>
      <c r="I25">
        <v>48.25051851634921</v>
      </c>
      <c r="J25">
        <v>46.791445640289787</v>
      </c>
      <c r="K25">
        <v>49.37481979588361</v>
      </c>
      <c r="L25">
        <v>46.931272972193689</v>
      </c>
      <c r="M25">
        <v>45.169647710895966</v>
      </c>
      <c r="N25">
        <v>46.932839157312017</v>
      </c>
      <c r="O25">
        <v>48.065396459541105</v>
      </c>
    </row>
    <row r="26" spans="1:15" x14ac:dyDescent="0.2">
      <c r="A26" s="1">
        <v>38718</v>
      </c>
      <c r="B26">
        <v>21</v>
      </c>
      <c r="C26">
        <v>14</v>
      </c>
      <c r="E26" t="str">
        <v>2012-08-01</v>
      </c>
      <c r="F26">
        <v>46.965436977949885</v>
      </c>
      <c r="G26">
        <v>45.437136301424779</v>
      </c>
      <c r="H26">
        <v>45.507531824229829</v>
      </c>
      <c r="I26">
        <v>43.002697849839997</v>
      </c>
      <c r="J26">
        <v>43.681645712771783</v>
      </c>
      <c r="K26">
        <v>45.109587512236438</v>
      </c>
      <c r="L26">
        <v>46.192701864438611</v>
      </c>
      <c r="M26">
        <v>45.285025679777689</v>
      </c>
      <c r="N26">
        <v>43.087906729387683</v>
      </c>
      <c r="O26">
        <v>46.676614361692593</v>
      </c>
    </row>
    <row r="27" spans="1:15" x14ac:dyDescent="0.2">
      <c r="A27" s="1">
        <v>38749</v>
      </c>
      <c r="B27">
        <v>20</v>
      </c>
      <c r="C27">
        <v>15</v>
      </c>
    </row>
    <row r="28" spans="1:15" x14ac:dyDescent="0.2">
      <c r="A28" s="1">
        <v>38777</v>
      </c>
      <c r="B28">
        <v>16</v>
      </c>
      <c r="C28">
        <v>16</v>
      </c>
    </row>
    <row r="29" spans="1:15" x14ac:dyDescent="0.2">
      <c r="A29" s="1">
        <v>38808</v>
      </c>
      <c r="B29">
        <v>14</v>
      </c>
      <c r="C29">
        <v>19</v>
      </c>
      <c r="E29" s="3" t="str" cm="1">
        <f t="array" ref="E29:O35">_xldudf_TECHTO_FORECAST($A$1:$C$73,"Ridge",5,20,,,6,TRUE,"heater")</f>
        <v>date</v>
      </c>
      <c r="F29" t="str">
        <v>sim_1_heater</v>
      </c>
      <c r="G29" t="str">
        <v>sim_2_heater</v>
      </c>
      <c r="H29" t="str">
        <v>sim_3_heater</v>
      </c>
      <c r="I29" t="str">
        <v>sim_4_heater</v>
      </c>
      <c r="J29" t="str">
        <v>sim_5_heater</v>
      </c>
      <c r="K29" t="str">
        <v>sim_6_heater</v>
      </c>
      <c r="L29" t="str">
        <v>sim_7_heater</v>
      </c>
      <c r="M29" t="str">
        <v>sim_8_heater</v>
      </c>
      <c r="N29" t="str">
        <v>sim_9_heater</v>
      </c>
      <c r="O29" t="str">
        <v>sim_10_heater</v>
      </c>
    </row>
    <row r="30" spans="1:15" x14ac:dyDescent="0.2">
      <c r="A30" s="1">
        <v>38838</v>
      </c>
      <c r="B30">
        <v>13</v>
      </c>
      <c r="C30">
        <v>23</v>
      </c>
      <c r="E30" t="str">
        <v>2010-01-01</v>
      </c>
      <c r="F30">
        <v>23.218928610955984</v>
      </c>
      <c r="G30">
        <v>26.085141788963167</v>
      </c>
      <c r="H30">
        <v>27.649505865380647</v>
      </c>
      <c r="I30">
        <v>27.261431355759676</v>
      </c>
      <c r="J30">
        <v>24.259011907017335</v>
      </c>
      <c r="K30">
        <v>23.632521226710217</v>
      </c>
      <c r="L30">
        <v>28.39893155569068</v>
      </c>
      <c r="M30">
        <v>27.857147153929056</v>
      </c>
      <c r="N30">
        <v>27.57978835004986</v>
      </c>
      <c r="O30">
        <v>25.815847085520783</v>
      </c>
    </row>
    <row r="31" spans="1:15" x14ac:dyDescent="0.2">
      <c r="A31" s="1">
        <v>38869</v>
      </c>
      <c r="B31">
        <v>13</v>
      </c>
      <c r="C31">
        <v>27</v>
      </c>
      <c r="E31" t="str">
        <v>2010-02-01</v>
      </c>
      <c r="F31">
        <v>25.645124998665302</v>
      </c>
      <c r="G31">
        <v>23.796145131206973</v>
      </c>
      <c r="H31">
        <v>23.42911922676786</v>
      </c>
      <c r="I31">
        <v>24.085379874005092</v>
      </c>
      <c r="J31">
        <v>22.776454096219545</v>
      </c>
      <c r="K31">
        <v>24.204562682677224</v>
      </c>
      <c r="L31">
        <v>24.664815890226755</v>
      </c>
      <c r="M31">
        <v>23.836204471347877</v>
      </c>
      <c r="N31">
        <v>23.933968509828919</v>
      </c>
      <c r="O31">
        <v>24.331035757640141</v>
      </c>
    </row>
    <row r="32" spans="1:15" x14ac:dyDescent="0.2">
      <c r="A32" s="1">
        <v>38899</v>
      </c>
      <c r="B32">
        <v>13</v>
      </c>
      <c r="C32">
        <v>32</v>
      </c>
      <c r="E32" t="str">
        <v>2010-03-01</v>
      </c>
      <c r="F32">
        <v>19.797748008956734</v>
      </c>
      <c r="G32">
        <v>18.481677430321582</v>
      </c>
      <c r="H32">
        <v>17.122004192718499</v>
      </c>
      <c r="I32">
        <v>20.135344224630774</v>
      </c>
      <c r="J32">
        <v>20.048449658816324</v>
      </c>
      <c r="K32">
        <v>17.902909425735814</v>
      </c>
      <c r="L32">
        <v>19.064604068817911</v>
      </c>
      <c r="M32">
        <v>18.128445855852767</v>
      </c>
      <c r="N32">
        <v>18.677000338732405</v>
      </c>
      <c r="O32">
        <v>17.704458369760754</v>
      </c>
    </row>
    <row r="33" spans="1:15" x14ac:dyDescent="0.2">
      <c r="A33" s="1">
        <v>38930</v>
      </c>
      <c r="B33">
        <v>13</v>
      </c>
      <c r="C33">
        <v>24</v>
      </c>
      <c r="E33" t="str">
        <v>2010-04-01</v>
      </c>
      <c r="F33">
        <v>14.124690859226684</v>
      </c>
      <c r="G33">
        <v>12.221350267584098</v>
      </c>
      <c r="H33">
        <v>14.444379882054148</v>
      </c>
      <c r="I33">
        <v>14.272986221930251</v>
      </c>
      <c r="J33">
        <v>14.656637862897885</v>
      </c>
      <c r="K33">
        <v>15.481614800295022</v>
      </c>
      <c r="L33">
        <v>14.394410792094789</v>
      </c>
      <c r="M33">
        <v>13.883967580611063</v>
      </c>
      <c r="N33">
        <v>14.110550154654137</v>
      </c>
      <c r="O33">
        <v>15.135361658346309</v>
      </c>
    </row>
    <row r="34" spans="1:15" x14ac:dyDescent="0.2">
      <c r="A34" s="1">
        <v>38961</v>
      </c>
      <c r="B34">
        <v>16</v>
      </c>
      <c r="C34">
        <v>19</v>
      </c>
      <c r="E34" t="str">
        <v>2010-05-01</v>
      </c>
      <c r="F34">
        <v>12.05493720860461</v>
      </c>
      <c r="G34">
        <v>11.505068503746422</v>
      </c>
      <c r="H34">
        <v>14.462502929146918</v>
      </c>
      <c r="I34">
        <v>15.08598284798407</v>
      </c>
      <c r="J34">
        <v>12.418195139671344</v>
      </c>
      <c r="K34">
        <v>14.039798839414621</v>
      </c>
      <c r="L34">
        <v>14.32195047858059</v>
      </c>
      <c r="M34">
        <v>14.011819277380514</v>
      </c>
      <c r="N34">
        <v>12.567433372287264</v>
      </c>
      <c r="O34">
        <v>14.341557438249774</v>
      </c>
    </row>
    <row r="35" spans="1:15" x14ac:dyDescent="0.2">
      <c r="A35" s="1">
        <v>38991</v>
      </c>
      <c r="B35">
        <v>22</v>
      </c>
      <c r="C35">
        <v>16</v>
      </c>
      <c r="E35" t="str">
        <v>2010-06-01</v>
      </c>
      <c r="F35">
        <v>12.314007896342597</v>
      </c>
      <c r="G35">
        <v>14.094028205742408</v>
      </c>
      <c r="H35">
        <v>12.519621148068298</v>
      </c>
      <c r="I35">
        <v>12.744142997483571</v>
      </c>
      <c r="J35">
        <v>12.692090258905822</v>
      </c>
      <c r="K35">
        <v>12.394247129483389</v>
      </c>
      <c r="L35">
        <v>13.889948850608006</v>
      </c>
      <c r="M35">
        <v>15.477588330347723</v>
      </c>
      <c r="N35">
        <v>14.194306113853264</v>
      </c>
      <c r="O35">
        <v>13.567764897794614</v>
      </c>
    </row>
    <row r="36" spans="1:15" x14ac:dyDescent="0.2">
      <c r="A36" s="1">
        <v>39022</v>
      </c>
      <c r="B36">
        <v>23</v>
      </c>
      <c r="C36">
        <v>16</v>
      </c>
    </row>
    <row r="37" spans="1:15" x14ac:dyDescent="0.2">
      <c r="A37" s="1">
        <v>39052</v>
      </c>
      <c r="B37">
        <v>25</v>
      </c>
      <c r="C37">
        <v>17</v>
      </c>
    </row>
    <row r="38" spans="1:15" x14ac:dyDescent="0.2">
      <c r="A38" s="1">
        <v>39083</v>
      </c>
      <c r="B38">
        <v>25</v>
      </c>
      <c r="C38">
        <v>16</v>
      </c>
    </row>
    <row r="39" spans="1:15" x14ac:dyDescent="0.2">
      <c r="A39" s="1">
        <v>39114</v>
      </c>
      <c r="B39">
        <v>23</v>
      </c>
      <c r="C39">
        <v>17</v>
      </c>
    </row>
    <row r="40" spans="1:15" x14ac:dyDescent="0.2">
      <c r="A40" s="1">
        <v>39142</v>
      </c>
      <c r="B40">
        <v>16</v>
      </c>
      <c r="C40">
        <v>18</v>
      </c>
    </row>
    <row r="41" spans="1:15" x14ac:dyDescent="0.2">
      <c r="A41" s="1">
        <v>39173</v>
      </c>
      <c r="B41">
        <v>14</v>
      </c>
      <c r="C41">
        <v>20</v>
      </c>
    </row>
    <row r="42" spans="1:15" x14ac:dyDescent="0.2">
      <c r="A42" s="1">
        <v>39203</v>
      </c>
      <c r="B42">
        <v>13</v>
      </c>
      <c r="C42">
        <v>25</v>
      </c>
    </row>
    <row r="43" spans="1:15" x14ac:dyDescent="0.2">
      <c r="A43" s="1">
        <v>39234</v>
      </c>
      <c r="B43">
        <v>13</v>
      </c>
      <c r="C43">
        <v>30</v>
      </c>
    </row>
    <row r="44" spans="1:15" x14ac:dyDescent="0.2">
      <c r="A44" s="1">
        <v>39264</v>
      </c>
      <c r="B44">
        <v>12</v>
      </c>
      <c r="C44">
        <v>29</v>
      </c>
    </row>
    <row r="45" spans="1:15" x14ac:dyDescent="0.2">
      <c r="A45" s="1">
        <v>39295</v>
      </c>
      <c r="B45">
        <v>12</v>
      </c>
      <c r="C45">
        <v>23</v>
      </c>
    </row>
    <row r="46" spans="1:15" x14ac:dyDescent="0.2">
      <c r="A46" s="1">
        <v>39326</v>
      </c>
      <c r="B46">
        <v>15</v>
      </c>
      <c r="C46">
        <v>19</v>
      </c>
    </row>
    <row r="47" spans="1:15" x14ac:dyDescent="0.2">
      <c r="A47" s="1">
        <v>39356</v>
      </c>
      <c r="B47">
        <v>20</v>
      </c>
      <c r="C47">
        <v>15</v>
      </c>
    </row>
    <row r="48" spans="1:15" x14ac:dyDescent="0.2">
      <c r="A48" s="1">
        <v>39387</v>
      </c>
      <c r="B48">
        <v>26</v>
      </c>
      <c r="C48">
        <v>15</v>
      </c>
    </row>
    <row r="49" spans="1:3" x14ac:dyDescent="0.2">
      <c r="A49" s="1">
        <v>39417</v>
      </c>
      <c r="B49">
        <v>29</v>
      </c>
      <c r="C49">
        <v>16</v>
      </c>
    </row>
    <row r="50" spans="1:3" x14ac:dyDescent="0.2">
      <c r="A50" s="1">
        <v>39448</v>
      </c>
      <c r="B50">
        <v>26</v>
      </c>
      <c r="C50">
        <v>15</v>
      </c>
    </row>
    <row r="51" spans="1:3" x14ac:dyDescent="0.2">
      <c r="A51" s="1">
        <v>39479</v>
      </c>
      <c r="B51">
        <v>20</v>
      </c>
      <c r="C51">
        <v>17</v>
      </c>
    </row>
    <row r="52" spans="1:3" x14ac:dyDescent="0.2">
      <c r="A52" s="1">
        <v>39508</v>
      </c>
      <c r="B52">
        <v>16</v>
      </c>
      <c r="C52">
        <v>17</v>
      </c>
    </row>
    <row r="53" spans="1:3" x14ac:dyDescent="0.2">
      <c r="A53" s="1">
        <v>39539</v>
      </c>
      <c r="B53">
        <v>15</v>
      </c>
      <c r="C53">
        <v>20</v>
      </c>
    </row>
    <row r="54" spans="1:3" x14ac:dyDescent="0.2">
      <c r="A54" s="1">
        <v>39569</v>
      </c>
      <c r="B54">
        <v>14</v>
      </c>
      <c r="C54">
        <v>25</v>
      </c>
    </row>
    <row r="55" spans="1:3" x14ac:dyDescent="0.2">
      <c r="A55" s="1">
        <v>39600</v>
      </c>
      <c r="B55">
        <v>14</v>
      </c>
      <c r="C55">
        <v>28</v>
      </c>
    </row>
    <row r="56" spans="1:3" x14ac:dyDescent="0.2">
      <c r="A56" s="1">
        <v>39630</v>
      </c>
      <c r="B56">
        <v>14</v>
      </c>
      <c r="C56">
        <v>28</v>
      </c>
    </row>
    <row r="57" spans="1:3" x14ac:dyDescent="0.2">
      <c r="A57" s="1">
        <v>39661</v>
      </c>
      <c r="B57">
        <v>14</v>
      </c>
      <c r="C57">
        <v>23</v>
      </c>
    </row>
    <row r="58" spans="1:3" x14ac:dyDescent="0.2">
      <c r="A58" s="1">
        <v>39692</v>
      </c>
      <c r="B58">
        <v>17</v>
      </c>
      <c r="C58">
        <v>18</v>
      </c>
    </row>
    <row r="59" spans="1:3" x14ac:dyDescent="0.2">
      <c r="A59" s="1">
        <v>39722</v>
      </c>
      <c r="B59">
        <v>26</v>
      </c>
      <c r="C59">
        <v>15</v>
      </c>
    </row>
    <row r="60" spans="1:3" x14ac:dyDescent="0.2">
      <c r="A60" s="1">
        <v>39753</v>
      </c>
      <c r="B60">
        <v>28</v>
      </c>
      <c r="C60">
        <v>15</v>
      </c>
    </row>
    <row r="61" spans="1:3" x14ac:dyDescent="0.2">
      <c r="A61" s="1">
        <v>39783</v>
      </c>
      <c r="B61">
        <v>31</v>
      </c>
      <c r="C61">
        <v>14</v>
      </c>
    </row>
    <row r="62" spans="1:3" x14ac:dyDescent="0.2">
      <c r="A62" s="1">
        <v>39814</v>
      </c>
      <c r="B62">
        <v>29</v>
      </c>
      <c r="C62">
        <v>15</v>
      </c>
    </row>
    <row r="63" spans="1:3" x14ac:dyDescent="0.2">
      <c r="A63" s="1">
        <v>39845</v>
      </c>
      <c r="B63">
        <v>21</v>
      </c>
      <c r="C63">
        <v>17</v>
      </c>
    </row>
    <row r="64" spans="1:3" x14ac:dyDescent="0.2">
      <c r="A64" s="1">
        <v>39873</v>
      </c>
      <c r="B64">
        <v>17</v>
      </c>
      <c r="C64">
        <v>18</v>
      </c>
    </row>
    <row r="65" spans="1:3" x14ac:dyDescent="0.2">
      <c r="A65" s="1">
        <v>39904</v>
      </c>
      <c r="B65">
        <v>15</v>
      </c>
      <c r="C65">
        <v>22</v>
      </c>
    </row>
    <row r="66" spans="1:3" x14ac:dyDescent="0.2">
      <c r="A66" s="1">
        <v>39934</v>
      </c>
      <c r="B66">
        <v>14</v>
      </c>
      <c r="C66">
        <v>27</v>
      </c>
    </row>
    <row r="67" spans="1:3" x14ac:dyDescent="0.2">
      <c r="A67" s="1">
        <v>39965</v>
      </c>
      <c r="B67">
        <v>14</v>
      </c>
      <c r="C67">
        <v>32</v>
      </c>
    </row>
    <row r="68" spans="1:3" x14ac:dyDescent="0.2">
      <c r="A68" s="1">
        <v>39995</v>
      </c>
      <c r="B68">
        <v>13</v>
      </c>
      <c r="C68">
        <v>34</v>
      </c>
    </row>
    <row r="69" spans="1:3" x14ac:dyDescent="0.2">
      <c r="A69" s="1">
        <v>40026</v>
      </c>
      <c r="B69">
        <v>13</v>
      </c>
      <c r="C69">
        <v>30</v>
      </c>
    </row>
    <row r="70" spans="1:3" x14ac:dyDescent="0.2">
      <c r="A70" s="1">
        <v>40057</v>
      </c>
      <c r="B70">
        <v>16</v>
      </c>
      <c r="C70">
        <v>24</v>
      </c>
    </row>
    <row r="71" spans="1:3" x14ac:dyDescent="0.2">
      <c r="A71" s="1">
        <v>40087</v>
      </c>
      <c r="B71">
        <v>24</v>
      </c>
      <c r="C71">
        <v>19</v>
      </c>
    </row>
    <row r="72" spans="1:3" x14ac:dyDescent="0.2">
      <c r="A72" s="1">
        <v>40118</v>
      </c>
      <c r="B72">
        <v>23</v>
      </c>
      <c r="C72">
        <v>20</v>
      </c>
    </row>
    <row r="73" spans="1:3" x14ac:dyDescent="0.2">
      <c r="A73" s="1">
        <v>40148</v>
      </c>
      <c r="B73">
        <v>33</v>
      </c>
      <c r="C73">
        <v>18</v>
      </c>
    </row>
    <row r="74" spans="1:3" x14ac:dyDescent="0.2">
      <c r="A74" s="1">
        <v>40179</v>
      </c>
      <c r="B74">
        <v>30</v>
      </c>
      <c r="C74">
        <v>18</v>
      </c>
    </row>
    <row r="75" spans="1:3" x14ac:dyDescent="0.2">
      <c r="A75" s="1">
        <v>40210</v>
      </c>
      <c r="B75">
        <v>22</v>
      </c>
      <c r="C75">
        <v>19</v>
      </c>
    </row>
    <row r="76" spans="1:3" x14ac:dyDescent="0.2">
      <c r="A76" s="1">
        <v>40238</v>
      </c>
      <c r="B76">
        <v>17</v>
      </c>
      <c r="C76">
        <v>21</v>
      </c>
    </row>
    <row r="77" spans="1:3" x14ac:dyDescent="0.2">
      <c r="A77" s="1">
        <v>40269</v>
      </c>
      <c r="B77">
        <v>15</v>
      </c>
      <c r="C77">
        <v>23</v>
      </c>
    </row>
    <row r="78" spans="1:3" x14ac:dyDescent="0.2">
      <c r="A78" s="1">
        <v>40299</v>
      </c>
      <c r="B78">
        <v>14</v>
      </c>
      <c r="C78">
        <v>28</v>
      </c>
    </row>
    <row r="79" spans="1:3" x14ac:dyDescent="0.2">
      <c r="A79" s="1">
        <v>40330</v>
      </c>
      <c r="B79">
        <v>12</v>
      </c>
      <c r="C79">
        <v>30</v>
      </c>
    </row>
    <row r="80" spans="1:3" x14ac:dyDescent="0.2">
      <c r="A80" s="1">
        <v>40360</v>
      </c>
      <c r="B80">
        <v>11</v>
      </c>
      <c r="C80">
        <v>34</v>
      </c>
    </row>
    <row r="81" spans="1:3" x14ac:dyDescent="0.2">
      <c r="A81" s="1">
        <v>40391</v>
      </c>
      <c r="B81">
        <v>12</v>
      </c>
      <c r="C81">
        <v>28</v>
      </c>
    </row>
    <row r="82" spans="1:3" x14ac:dyDescent="0.2">
      <c r="A82" s="1">
        <v>40422</v>
      </c>
      <c r="B82">
        <v>14</v>
      </c>
      <c r="C82">
        <v>22</v>
      </c>
    </row>
    <row r="83" spans="1:3" x14ac:dyDescent="0.2">
      <c r="A83" s="1">
        <v>40452</v>
      </c>
      <c r="B83">
        <v>21</v>
      </c>
      <c r="C83">
        <v>18</v>
      </c>
    </row>
    <row r="84" spans="1:3" x14ac:dyDescent="0.2">
      <c r="A84" s="1">
        <v>40483</v>
      </c>
      <c r="B84">
        <v>27</v>
      </c>
      <c r="C84">
        <v>17</v>
      </c>
    </row>
    <row r="85" spans="1:3" x14ac:dyDescent="0.2">
      <c r="A85" s="1">
        <v>40513</v>
      </c>
      <c r="B85">
        <v>32</v>
      </c>
      <c r="C85">
        <v>16</v>
      </c>
    </row>
    <row r="86" spans="1:3" x14ac:dyDescent="0.2">
      <c r="A86" s="1">
        <v>40544</v>
      </c>
      <c r="B86">
        <v>31</v>
      </c>
      <c r="C86">
        <v>24</v>
      </c>
    </row>
    <row r="87" spans="1:3" x14ac:dyDescent="0.2">
      <c r="A87" s="1">
        <v>40575</v>
      </c>
      <c r="B87">
        <v>24</v>
      </c>
      <c r="C87">
        <v>24</v>
      </c>
    </row>
    <row r="88" spans="1:3" x14ac:dyDescent="0.2">
      <c r="A88" s="1">
        <v>40603</v>
      </c>
      <c r="B88">
        <v>18</v>
      </c>
      <c r="C88">
        <v>25</v>
      </c>
    </row>
    <row r="89" spans="1:3" x14ac:dyDescent="0.2">
      <c r="A89" s="1">
        <v>40634</v>
      </c>
      <c r="B89">
        <v>15</v>
      </c>
      <c r="C89">
        <v>45</v>
      </c>
    </row>
    <row r="90" spans="1:3" x14ac:dyDescent="0.2">
      <c r="A90" s="1">
        <v>40664</v>
      </c>
      <c r="B90">
        <v>14</v>
      </c>
      <c r="C90">
        <v>34</v>
      </c>
    </row>
    <row r="91" spans="1:3" x14ac:dyDescent="0.2">
      <c r="A91" s="1">
        <v>40695</v>
      </c>
      <c r="B91">
        <v>14</v>
      </c>
      <c r="C91">
        <v>41</v>
      </c>
    </row>
    <row r="92" spans="1:3" x14ac:dyDescent="0.2">
      <c r="A92" s="1">
        <v>40725</v>
      </c>
      <c r="B92">
        <v>13</v>
      </c>
      <c r="C92">
        <v>46</v>
      </c>
    </row>
    <row r="93" spans="1:3" x14ac:dyDescent="0.2">
      <c r="A93" s="1">
        <v>40756</v>
      </c>
      <c r="B93">
        <v>14</v>
      </c>
      <c r="C93">
        <v>35</v>
      </c>
    </row>
    <row r="94" spans="1:3" x14ac:dyDescent="0.2">
      <c r="A94" s="1">
        <v>40787</v>
      </c>
      <c r="B94">
        <v>17</v>
      </c>
      <c r="C94">
        <v>30</v>
      </c>
    </row>
    <row r="95" spans="1:3" x14ac:dyDescent="0.2">
      <c r="A95" s="1">
        <v>40817</v>
      </c>
      <c r="B95">
        <v>25</v>
      </c>
      <c r="C95">
        <v>30</v>
      </c>
    </row>
    <row r="96" spans="1:3" x14ac:dyDescent="0.2">
      <c r="A96" s="1">
        <v>40848</v>
      </c>
      <c r="B96">
        <v>31</v>
      </c>
      <c r="C96">
        <v>27</v>
      </c>
    </row>
    <row r="97" spans="1:3" x14ac:dyDescent="0.2">
      <c r="A97" s="1">
        <v>40878</v>
      </c>
      <c r="B97">
        <v>32</v>
      </c>
      <c r="C97">
        <v>29</v>
      </c>
    </row>
    <row r="98" spans="1:3" x14ac:dyDescent="0.2">
      <c r="A98" s="1">
        <v>40909</v>
      </c>
      <c r="B98">
        <v>28</v>
      </c>
      <c r="C98">
        <v>30</v>
      </c>
    </row>
    <row r="99" spans="1:3" x14ac:dyDescent="0.2">
      <c r="A99" s="1">
        <v>40940</v>
      </c>
      <c r="B99">
        <v>21</v>
      </c>
      <c r="C99">
        <v>30</v>
      </c>
    </row>
    <row r="100" spans="1:3" x14ac:dyDescent="0.2">
      <c r="A100" s="1">
        <v>40969</v>
      </c>
      <c r="B100">
        <v>17</v>
      </c>
      <c r="C100">
        <v>35</v>
      </c>
    </row>
    <row r="101" spans="1:3" x14ac:dyDescent="0.2">
      <c r="A101" s="1">
        <v>41000</v>
      </c>
      <c r="B101">
        <v>15</v>
      </c>
      <c r="C101">
        <v>39</v>
      </c>
    </row>
    <row r="102" spans="1:3" x14ac:dyDescent="0.2">
      <c r="A102" s="1">
        <v>41030</v>
      </c>
      <c r="B102">
        <v>14</v>
      </c>
      <c r="C102">
        <v>46</v>
      </c>
    </row>
    <row r="103" spans="1:3" x14ac:dyDescent="0.2">
      <c r="A103" s="1">
        <v>41061</v>
      </c>
      <c r="B103">
        <v>13</v>
      </c>
      <c r="C103">
        <v>53</v>
      </c>
    </row>
    <row r="104" spans="1:3" x14ac:dyDescent="0.2">
      <c r="A104" s="1">
        <v>41091</v>
      </c>
      <c r="B104">
        <v>13</v>
      </c>
      <c r="C104">
        <v>55</v>
      </c>
    </row>
    <row r="105" spans="1:3" x14ac:dyDescent="0.2">
      <c r="A105" s="1">
        <v>41122</v>
      </c>
      <c r="B105">
        <v>13</v>
      </c>
      <c r="C105">
        <v>41</v>
      </c>
    </row>
    <row r="106" spans="1:3" x14ac:dyDescent="0.2">
      <c r="A106" s="1">
        <v>41153</v>
      </c>
      <c r="B106">
        <v>16</v>
      </c>
      <c r="C106">
        <v>31</v>
      </c>
    </row>
    <row r="107" spans="1:3" x14ac:dyDescent="0.2">
      <c r="A107" s="1">
        <v>41183</v>
      </c>
      <c r="B107">
        <v>25</v>
      </c>
      <c r="C107">
        <v>24</v>
      </c>
    </row>
    <row r="108" spans="1:3" x14ac:dyDescent="0.2">
      <c r="A108" s="1">
        <v>41214</v>
      </c>
      <c r="B108">
        <v>32</v>
      </c>
      <c r="C108">
        <v>23</v>
      </c>
    </row>
    <row r="109" spans="1:3" x14ac:dyDescent="0.2">
      <c r="A109" s="1">
        <v>41244</v>
      </c>
      <c r="B109">
        <v>29</v>
      </c>
      <c r="C109">
        <v>23</v>
      </c>
    </row>
    <row r="110" spans="1:3" x14ac:dyDescent="0.2">
      <c r="A110" s="1">
        <v>41275</v>
      </c>
      <c r="B110">
        <v>30</v>
      </c>
      <c r="C110">
        <v>24</v>
      </c>
    </row>
    <row r="111" spans="1:3" x14ac:dyDescent="0.2">
      <c r="A111" s="1">
        <v>41306</v>
      </c>
      <c r="B111">
        <v>23</v>
      </c>
      <c r="C111">
        <v>25</v>
      </c>
    </row>
    <row r="112" spans="1:3" x14ac:dyDescent="0.2">
      <c r="A112" s="1">
        <v>41334</v>
      </c>
      <c r="B112">
        <v>20</v>
      </c>
      <c r="C112">
        <v>27</v>
      </c>
    </row>
    <row r="113" spans="1:3" x14ac:dyDescent="0.2">
      <c r="A113" s="1">
        <v>41365</v>
      </c>
      <c r="B113">
        <v>16</v>
      </c>
      <c r="C113">
        <v>31</v>
      </c>
    </row>
    <row r="114" spans="1:3" x14ac:dyDescent="0.2">
      <c r="A114" s="1">
        <v>41395</v>
      </c>
      <c r="B114">
        <v>15</v>
      </c>
      <c r="C114">
        <v>37</v>
      </c>
    </row>
    <row r="115" spans="1:3" x14ac:dyDescent="0.2">
      <c r="A115" s="1">
        <v>41426</v>
      </c>
      <c r="B115">
        <v>14</v>
      </c>
      <c r="C115">
        <v>44</v>
      </c>
    </row>
    <row r="116" spans="1:3" x14ac:dyDescent="0.2">
      <c r="A116" s="1">
        <v>41456</v>
      </c>
      <c r="B116">
        <v>14</v>
      </c>
      <c r="C116">
        <v>48</v>
      </c>
    </row>
    <row r="117" spans="1:3" x14ac:dyDescent="0.2">
      <c r="A117" s="1">
        <v>41487</v>
      </c>
      <c r="B117">
        <v>14</v>
      </c>
      <c r="C117">
        <v>37</v>
      </c>
    </row>
    <row r="118" spans="1:3" x14ac:dyDescent="0.2">
      <c r="A118" s="1">
        <v>41518</v>
      </c>
      <c r="B118">
        <v>17</v>
      </c>
      <c r="C118">
        <v>28</v>
      </c>
    </row>
    <row r="119" spans="1:3" x14ac:dyDescent="0.2">
      <c r="A119" s="1">
        <v>41548</v>
      </c>
      <c r="B119">
        <v>27</v>
      </c>
      <c r="C119">
        <v>22</v>
      </c>
    </row>
    <row r="120" spans="1:3" x14ac:dyDescent="0.2">
      <c r="A120" s="1">
        <v>41579</v>
      </c>
      <c r="B120">
        <v>36</v>
      </c>
      <c r="C120">
        <v>21</v>
      </c>
    </row>
    <row r="121" spans="1:3" x14ac:dyDescent="0.2">
      <c r="A121" s="1">
        <v>41609</v>
      </c>
      <c r="B121">
        <v>39</v>
      </c>
      <c r="C121">
        <v>21</v>
      </c>
    </row>
    <row r="122" spans="1:3" x14ac:dyDescent="0.2">
      <c r="A122" s="1">
        <v>41640</v>
      </c>
      <c r="B122">
        <v>39</v>
      </c>
      <c r="C122">
        <v>24</v>
      </c>
    </row>
    <row r="123" spans="1:3" x14ac:dyDescent="0.2">
      <c r="A123" s="1">
        <v>41671</v>
      </c>
      <c r="B123">
        <v>28</v>
      </c>
      <c r="C123">
        <v>24</v>
      </c>
    </row>
    <row r="124" spans="1:3" x14ac:dyDescent="0.2">
      <c r="A124" s="1">
        <v>41699</v>
      </c>
      <c r="B124">
        <v>21</v>
      </c>
      <c r="C124">
        <v>28</v>
      </c>
    </row>
    <row r="125" spans="1:3" x14ac:dyDescent="0.2">
      <c r="A125" s="1">
        <v>41730</v>
      </c>
      <c r="B125">
        <v>17</v>
      </c>
      <c r="C125">
        <v>32</v>
      </c>
    </row>
    <row r="126" spans="1:3" x14ac:dyDescent="0.2">
      <c r="A126" s="1">
        <v>41760</v>
      </c>
      <c r="B126">
        <v>16</v>
      </c>
      <c r="C126">
        <v>39</v>
      </c>
    </row>
    <row r="127" spans="1:3" x14ac:dyDescent="0.2">
      <c r="A127" s="1">
        <v>41791</v>
      </c>
      <c r="B127">
        <v>15</v>
      </c>
      <c r="C127">
        <v>45</v>
      </c>
    </row>
    <row r="128" spans="1:3" x14ac:dyDescent="0.2">
      <c r="A128" s="1">
        <v>41821</v>
      </c>
      <c r="B128">
        <v>15</v>
      </c>
      <c r="C128">
        <v>51</v>
      </c>
    </row>
    <row r="129" spans="1:3" x14ac:dyDescent="0.2">
      <c r="A129" s="1">
        <v>41852</v>
      </c>
      <c r="B129">
        <v>16</v>
      </c>
      <c r="C129">
        <v>40</v>
      </c>
    </row>
    <row r="130" spans="1:3" x14ac:dyDescent="0.2">
      <c r="A130" s="1">
        <v>41883</v>
      </c>
      <c r="B130">
        <v>19</v>
      </c>
      <c r="C130">
        <v>28</v>
      </c>
    </row>
    <row r="131" spans="1:3" x14ac:dyDescent="0.2">
      <c r="A131" s="1">
        <v>41913</v>
      </c>
      <c r="B131">
        <v>26</v>
      </c>
      <c r="C131">
        <v>23</v>
      </c>
    </row>
    <row r="132" spans="1:3" x14ac:dyDescent="0.2">
      <c r="A132" s="1">
        <v>41944</v>
      </c>
      <c r="B132">
        <v>45</v>
      </c>
      <c r="C132">
        <v>21</v>
      </c>
    </row>
    <row r="133" spans="1:3" x14ac:dyDescent="0.2">
      <c r="A133" s="1">
        <v>41974</v>
      </c>
      <c r="B133">
        <v>32</v>
      </c>
      <c r="C133">
        <v>22</v>
      </c>
    </row>
    <row r="134" spans="1:3" x14ac:dyDescent="0.2">
      <c r="A134" s="1">
        <v>42005</v>
      </c>
      <c r="B134">
        <v>36</v>
      </c>
      <c r="C134">
        <v>24</v>
      </c>
    </row>
    <row r="135" spans="1:3" x14ac:dyDescent="0.2">
      <c r="A135" s="1">
        <v>42036</v>
      </c>
      <c r="B135">
        <v>32</v>
      </c>
      <c r="C135">
        <v>26</v>
      </c>
    </row>
    <row r="136" spans="1:3" x14ac:dyDescent="0.2">
      <c r="A136" s="1">
        <v>42064</v>
      </c>
      <c r="B136">
        <v>21</v>
      </c>
      <c r="C136">
        <v>33</v>
      </c>
    </row>
    <row r="137" spans="1:3" x14ac:dyDescent="0.2">
      <c r="A137" s="1">
        <v>42095</v>
      </c>
      <c r="B137">
        <v>17</v>
      </c>
      <c r="C137">
        <v>40</v>
      </c>
    </row>
    <row r="138" spans="1:3" x14ac:dyDescent="0.2">
      <c r="A138" s="1">
        <v>42125</v>
      </c>
      <c r="B138">
        <v>17</v>
      </c>
      <c r="C138">
        <v>46</v>
      </c>
    </row>
    <row r="139" spans="1:3" x14ac:dyDescent="0.2">
      <c r="A139" s="1">
        <v>42156</v>
      </c>
      <c r="B139">
        <v>17</v>
      </c>
      <c r="C139">
        <v>49</v>
      </c>
    </row>
    <row r="140" spans="1:3" x14ac:dyDescent="0.2">
      <c r="A140" s="1">
        <v>42186</v>
      </c>
      <c r="B140">
        <v>16</v>
      </c>
      <c r="C140">
        <v>57</v>
      </c>
    </row>
    <row r="141" spans="1:3" x14ac:dyDescent="0.2">
      <c r="A141" s="1">
        <v>42217</v>
      </c>
      <c r="B141">
        <v>17</v>
      </c>
      <c r="C141">
        <v>45</v>
      </c>
    </row>
    <row r="142" spans="1:3" x14ac:dyDescent="0.2">
      <c r="A142" s="1">
        <v>42248</v>
      </c>
      <c r="B142">
        <v>19</v>
      </c>
      <c r="C142">
        <v>35</v>
      </c>
    </row>
    <row r="143" spans="1:3" x14ac:dyDescent="0.2">
      <c r="A143" s="1">
        <v>42278</v>
      </c>
      <c r="B143">
        <v>29</v>
      </c>
      <c r="C143">
        <v>27</v>
      </c>
    </row>
    <row r="144" spans="1:3" x14ac:dyDescent="0.2">
      <c r="A144" s="1">
        <v>42309</v>
      </c>
      <c r="B144">
        <v>37</v>
      </c>
      <c r="C144">
        <v>26</v>
      </c>
    </row>
    <row r="145" spans="1:3" x14ac:dyDescent="0.2">
      <c r="A145" s="1">
        <v>42339</v>
      </c>
      <c r="B145">
        <v>35</v>
      </c>
      <c r="C145">
        <v>25</v>
      </c>
    </row>
    <row r="146" spans="1:3" x14ac:dyDescent="0.2">
      <c r="A146" s="1">
        <v>42370</v>
      </c>
      <c r="B146">
        <v>40</v>
      </c>
      <c r="C146">
        <v>30</v>
      </c>
    </row>
    <row r="147" spans="1:3" x14ac:dyDescent="0.2">
      <c r="A147" s="1">
        <v>42401</v>
      </c>
      <c r="B147">
        <v>28</v>
      </c>
      <c r="C147">
        <v>32</v>
      </c>
    </row>
    <row r="148" spans="1:3" x14ac:dyDescent="0.2">
      <c r="A148" s="1">
        <v>42430</v>
      </c>
      <c r="B148">
        <v>21</v>
      </c>
      <c r="C148">
        <v>38</v>
      </c>
    </row>
    <row r="149" spans="1:3" x14ac:dyDescent="0.2">
      <c r="A149" s="1">
        <v>42461</v>
      </c>
      <c r="B149">
        <v>20</v>
      </c>
      <c r="C149">
        <v>45</v>
      </c>
    </row>
    <row r="150" spans="1:3" x14ac:dyDescent="0.2">
      <c r="A150" s="1">
        <v>42491</v>
      </c>
      <c r="B150">
        <v>19</v>
      </c>
      <c r="C150">
        <v>51</v>
      </c>
    </row>
    <row r="151" spans="1:3" x14ac:dyDescent="0.2">
      <c r="A151" s="1">
        <v>42522</v>
      </c>
      <c r="B151">
        <v>18</v>
      </c>
      <c r="C151">
        <v>61</v>
      </c>
    </row>
    <row r="152" spans="1:3" x14ac:dyDescent="0.2">
      <c r="A152" s="1">
        <v>42552</v>
      </c>
      <c r="B152">
        <v>17</v>
      </c>
      <c r="C152">
        <v>71</v>
      </c>
    </row>
    <row r="153" spans="1:3" x14ac:dyDescent="0.2">
      <c r="A153" s="1">
        <v>42583</v>
      </c>
      <c r="B153">
        <v>17</v>
      </c>
      <c r="C153">
        <v>52</v>
      </c>
    </row>
    <row r="154" spans="1:3" x14ac:dyDescent="0.2">
      <c r="A154" s="1">
        <v>42614</v>
      </c>
      <c r="B154">
        <v>21</v>
      </c>
      <c r="C154">
        <v>42</v>
      </c>
    </row>
    <row r="155" spans="1:3" x14ac:dyDescent="0.2">
      <c r="A155" s="1">
        <v>42644</v>
      </c>
      <c r="B155">
        <v>29</v>
      </c>
      <c r="C155">
        <v>39</v>
      </c>
    </row>
    <row r="156" spans="1:3" x14ac:dyDescent="0.2">
      <c r="A156" s="1">
        <v>42675</v>
      </c>
      <c r="B156">
        <v>39</v>
      </c>
      <c r="C156">
        <v>46</v>
      </c>
    </row>
    <row r="157" spans="1:3" x14ac:dyDescent="0.2">
      <c r="A157" s="1">
        <v>42705</v>
      </c>
      <c r="B157">
        <v>52</v>
      </c>
      <c r="C157">
        <v>66</v>
      </c>
    </row>
    <row r="158" spans="1:3" x14ac:dyDescent="0.2">
      <c r="A158" s="1">
        <v>42736</v>
      </c>
      <c r="B158">
        <v>40</v>
      </c>
      <c r="C158">
        <v>35</v>
      </c>
    </row>
    <row r="159" spans="1:3" x14ac:dyDescent="0.2">
      <c r="A159" s="1">
        <v>42767</v>
      </c>
      <c r="B159">
        <v>27</v>
      </c>
      <c r="C159">
        <v>39</v>
      </c>
    </row>
    <row r="160" spans="1:3" x14ac:dyDescent="0.2">
      <c r="A160" s="1">
        <v>42795</v>
      </c>
      <c r="B160">
        <v>25</v>
      </c>
      <c r="C160">
        <v>44</v>
      </c>
    </row>
    <row r="161" spans="1:3" x14ac:dyDescent="0.2">
      <c r="A161" s="1">
        <v>42826</v>
      </c>
      <c r="B161">
        <v>20</v>
      </c>
      <c r="C161">
        <v>55</v>
      </c>
    </row>
    <row r="162" spans="1:3" x14ac:dyDescent="0.2">
      <c r="A162" s="1">
        <v>42856</v>
      </c>
      <c r="B162">
        <v>21</v>
      </c>
      <c r="C162">
        <v>60</v>
      </c>
    </row>
    <row r="163" spans="1:3" x14ac:dyDescent="0.2">
      <c r="A163" s="1">
        <v>42887</v>
      </c>
      <c r="B163">
        <v>20</v>
      </c>
      <c r="C163">
        <v>74</v>
      </c>
    </row>
    <row r="164" spans="1:3" x14ac:dyDescent="0.2">
      <c r="A164" s="1">
        <v>42917</v>
      </c>
      <c r="B164">
        <v>19</v>
      </c>
      <c r="C164">
        <v>89</v>
      </c>
    </row>
    <row r="165" spans="1:3" x14ac:dyDescent="0.2">
      <c r="A165" s="1">
        <v>42948</v>
      </c>
      <c r="B165">
        <v>19</v>
      </c>
      <c r="C165">
        <v>64</v>
      </c>
    </row>
    <row r="166" spans="1:3" x14ac:dyDescent="0.2">
      <c r="A166" s="1">
        <v>42979</v>
      </c>
      <c r="B166">
        <v>23</v>
      </c>
      <c r="C166">
        <v>48</v>
      </c>
    </row>
    <row r="167" spans="1:3" x14ac:dyDescent="0.2">
      <c r="A167" s="1">
        <v>43009</v>
      </c>
      <c r="B167">
        <v>33</v>
      </c>
      <c r="C167">
        <v>40</v>
      </c>
    </row>
    <row r="168" spans="1:3" x14ac:dyDescent="0.2">
      <c r="A168" s="1">
        <v>43040</v>
      </c>
      <c r="B168">
        <v>43</v>
      </c>
      <c r="C168">
        <v>36</v>
      </c>
    </row>
    <row r="169" spans="1:3" x14ac:dyDescent="0.2">
      <c r="A169" s="1">
        <v>43070</v>
      </c>
      <c r="B169">
        <v>56</v>
      </c>
      <c r="C169">
        <v>35</v>
      </c>
    </row>
    <row r="170" spans="1:3" x14ac:dyDescent="0.2">
      <c r="A170" s="1">
        <v>43101</v>
      </c>
      <c r="B170">
        <v>56</v>
      </c>
      <c r="C170">
        <v>40</v>
      </c>
    </row>
    <row r="171" spans="1:3" x14ac:dyDescent="0.2">
      <c r="A171" s="1">
        <v>43132</v>
      </c>
      <c r="B171">
        <v>33</v>
      </c>
      <c r="C171">
        <v>42</v>
      </c>
    </row>
    <row r="172" spans="1:3" x14ac:dyDescent="0.2">
      <c r="A172" s="1">
        <v>43160</v>
      </c>
      <c r="B172">
        <v>27</v>
      </c>
      <c r="C172">
        <v>51</v>
      </c>
    </row>
    <row r="173" spans="1:3" x14ac:dyDescent="0.2">
      <c r="A173" s="1">
        <v>43191</v>
      </c>
      <c r="B173">
        <v>24</v>
      </c>
      <c r="C173">
        <v>56</v>
      </c>
    </row>
    <row r="174" spans="1:3" x14ac:dyDescent="0.2">
      <c r="A174" s="1">
        <v>43221</v>
      </c>
      <c r="B174">
        <v>22</v>
      </c>
      <c r="C174">
        <v>71</v>
      </c>
    </row>
    <row r="175" spans="1:3" x14ac:dyDescent="0.2">
      <c r="A175" s="1">
        <v>43252</v>
      </c>
      <c r="B175">
        <v>21</v>
      </c>
      <c r="C175">
        <v>79</v>
      </c>
    </row>
    <row r="176" spans="1:3" x14ac:dyDescent="0.2">
      <c r="A176" s="1">
        <v>43282</v>
      </c>
      <c r="B176">
        <v>21</v>
      </c>
      <c r="C176">
        <v>91</v>
      </c>
    </row>
    <row r="177" spans="1:3" x14ac:dyDescent="0.2">
      <c r="A177" s="1">
        <v>43313</v>
      </c>
      <c r="B177">
        <v>21</v>
      </c>
      <c r="C177">
        <v>66</v>
      </c>
    </row>
    <row r="178" spans="1:3" x14ac:dyDescent="0.2">
      <c r="A178" s="1">
        <v>43344</v>
      </c>
      <c r="B178">
        <v>24</v>
      </c>
      <c r="C178">
        <v>49</v>
      </c>
    </row>
    <row r="179" spans="1:3" x14ac:dyDescent="0.2">
      <c r="A179" s="1">
        <v>43374</v>
      </c>
      <c r="B179">
        <v>39</v>
      </c>
      <c r="C179">
        <v>39</v>
      </c>
    </row>
    <row r="180" spans="1:3" x14ac:dyDescent="0.2">
      <c r="A180" s="1">
        <v>43405</v>
      </c>
      <c r="B180">
        <v>53</v>
      </c>
      <c r="C180">
        <v>34</v>
      </c>
    </row>
    <row r="181" spans="1:3" x14ac:dyDescent="0.2">
      <c r="A181" s="1">
        <v>43435</v>
      </c>
      <c r="B181">
        <v>48</v>
      </c>
      <c r="C181">
        <v>36</v>
      </c>
    </row>
    <row r="182" spans="1:3" x14ac:dyDescent="0.2">
      <c r="A182" s="1">
        <v>43466</v>
      </c>
      <c r="B182">
        <v>49</v>
      </c>
      <c r="C182">
        <v>39</v>
      </c>
    </row>
    <row r="183" spans="1:3" x14ac:dyDescent="0.2">
      <c r="A183" s="1">
        <v>43497</v>
      </c>
      <c r="B183">
        <v>39</v>
      </c>
      <c r="C183">
        <v>42</v>
      </c>
    </row>
    <row r="184" spans="1:3" x14ac:dyDescent="0.2">
      <c r="A184" s="1">
        <v>43525</v>
      </c>
      <c r="B184">
        <v>30</v>
      </c>
      <c r="C184">
        <v>53</v>
      </c>
    </row>
    <row r="185" spans="1:3" x14ac:dyDescent="0.2">
      <c r="A185" s="1">
        <v>43556</v>
      </c>
      <c r="B185">
        <v>24</v>
      </c>
      <c r="C185">
        <v>57</v>
      </c>
    </row>
    <row r="186" spans="1:3" x14ac:dyDescent="0.2">
      <c r="A186" s="1">
        <v>43586</v>
      </c>
      <c r="B186">
        <v>23</v>
      </c>
      <c r="C186">
        <v>65</v>
      </c>
    </row>
    <row r="187" spans="1:3" x14ac:dyDescent="0.2">
      <c r="A187" s="1">
        <v>43617</v>
      </c>
      <c r="B187">
        <v>22</v>
      </c>
      <c r="C187">
        <v>82</v>
      </c>
    </row>
    <row r="188" spans="1:3" x14ac:dyDescent="0.2">
      <c r="A188" s="1">
        <v>43647</v>
      </c>
      <c r="B188">
        <v>21</v>
      </c>
      <c r="C188">
        <v>100</v>
      </c>
    </row>
    <row r="189" spans="1:3" x14ac:dyDescent="0.2">
      <c r="A189" s="1">
        <v>43678</v>
      </c>
      <c r="B189">
        <v>21</v>
      </c>
      <c r="C189">
        <v>68</v>
      </c>
    </row>
    <row r="190" spans="1:3" x14ac:dyDescent="0.2">
      <c r="A190" s="1">
        <v>43709</v>
      </c>
      <c r="B190">
        <v>24</v>
      </c>
      <c r="C190">
        <v>51</v>
      </c>
    </row>
    <row r="191" spans="1:3" x14ac:dyDescent="0.2">
      <c r="A191" s="1">
        <v>43739</v>
      </c>
      <c r="B191">
        <v>40</v>
      </c>
      <c r="C191">
        <v>40</v>
      </c>
    </row>
    <row r="192" spans="1:3" x14ac:dyDescent="0.2">
      <c r="A192" s="1">
        <v>43770</v>
      </c>
      <c r="B192">
        <v>56</v>
      </c>
      <c r="C192">
        <v>36</v>
      </c>
    </row>
    <row r="193" spans="1:3" x14ac:dyDescent="0.2">
      <c r="A193" s="1">
        <v>43800</v>
      </c>
      <c r="B193">
        <v>46</v>
      </c>
      <c r="C193">
        <v>36</v>
      </c>
    </row>
    <row r="194" spans="1:3" x14ac:dyDescent="0.2">
      <c r="A194" s="1">
        <v>43831</v>
      </c>
      <c r="B194">
        <v>41</v>
      </c>
      <c r="C194">
        <v>43</v>
      </c>
    </row>
    <row r="195" spans="1:3" x14ac:dyDescent="0.2">
      <c r="A195" s="1">
        <v>43862</v>
      </c>
      <c r="B195">
        <v>34</v>
      </c>
      <c r="C195">
        <v>45</v>
      </c>
    </row>
    <row r="196" spans="1:3" x14ac:dyDescent="0.2">
      <c r="A196" s="1">
        <v>43891</v>
      </c>
      <c r="B196">
        <v>25</v>
      </c>
      <c r="C196">
        <v>44</v>
      </c>
    </row>
    <row r="197" spans="1:3" x14ac:dyDescent="0.2">
      <c r="A197" s="1">
        <v>43922</v>
      </c>
      <c r="B197">
        <v>25</v>
      </c>
      <c r="C197">
        <v>53</v>
      </c>
    </row>
    <row r="198" spans="1:3" x14ac:dyDescent="0.2">
      <c r="A198" s="1">
        <v>43952</v>
      </c>
      <c r="B198">
        <v>27</v>
      </c>
      <c r="C198">
        <v>70</v>
      </c>
    </row>
    <row r="199" spans="1:3" x14ac:dyDescent="0.2">
      <c r="A199" s="1">
        <v>43983</v>
      </c>
      <c r="B199">
        <v>24</v>
      </c>
      <c r="C199">
        <v>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D7EF-183A-9749-BED7-26AA5B82061A}">
  <dimension ref="A1:Q33"/>
  <sheetViews>
    <sheetView topLeftCell="H1" workbookViewId="0">
      <selection activeCell="T2" sqref="T2"/>
    </sheetView>
  </sheetViews>
  <sheetFormatPr baseColWidth="10" defaultRowHeight="16" x14ac:dyDescent="0.2"/>
  <sheetData>
    <row r="1" spans="1:17" x14ac:dyDescent="0.2">
      <c r="A1" t="s">
        <v>75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76</v>
      </c>
      <c r="N1" t="s">
        <v>1179</v>
      </c>
      <c r="O1" t="s">
        <v>1180</v>
      </c>
    </row>
    <row r="2" spans="1:17" x14ac:dyDescent="0.2">
      <c r="A2">
        <v>21</v>
      </c>
      <c r="B2">
        <v>6</v>
      </c>
      <c r="C2">
        <v>160</v>
      </c>
      <c r="D2">
        <v>110</v>
      </c>
      <c r="E2" t="s">
        <v>241</v>
      </c>
      <c r="F2" t="s">
        <v>136</v>
      </c>
      <c r="G2" t="s">
        <v>323</v>
      </c>
      <c r="H2">
        <v>0</v>
      </c>
      <c r="I2">
        <v>1</v>
      </c>
      <c r="J2">
        <v>4</v>
      </c>
      <c r="K2">
        <v>4</v>
      </c>
      <c r="L2">
        <v>1</v>
      </c>
      <c r="N2" s="3" t="str" cm="1">
        <f t="array" ref="N2:N11">_xldudf_TECHTO_MLREGRESSION(A1:L33,"Ridge",,FALSE)</f>
        <v>prediction</v>
      </c>
      <c r="O2" s="3" t="str" cm="1">
        <f t="array" ref="O2:Q11">_xldudf_TECHTO_MLREGRESSION(A1:L33,"Lasso",,TRUE)</f>
        <v>prediction</v>
      </c>
      <c r="P2" t="str">
        <v>lower</v>
      </c>
      <c r="Q2" t="str">
        <v>upper</v>
      </c>
    </row>
    <row r="3" spans="1:17" x14ac:dyDescent="0.2">
      <c r="A3">
        <v>21</v>
      </c>
      <c r="B3">
        <v>6</v>
      </c>
      <c r="C3">
        <v>160</v>
      </c>
      <c r="D3">
        <v>110</v>
      </c>
      <c r="E3" t="s">
        <v>241</v>
      </c>
      <c r="F3" t="s">
        <v>324</v>
      </c>
      <c r="G3" t="s">
        <v>325</v>
      </c>
      <c r="H3">
        <v>0</v>
      </c>
      <c r="I3">
        <v>1</v>
      </c>
      <c r="J3">
        <v>4</v>
      </c>
      <c r="K3">
        <v>4</v>
      </c>
      <c r="L3">
        <v>1</v>
      </c>
      <c r="N3">
        <v>15.930053171240029</v>
      </c>
      <c r="O3">
        <v>12.967250823974609</v>
      </c>
      <c r="P3">
        <v>4.9283008575439453</v>
      </c>
      <c r="Q3">
        <v>21.006200790405273</v>
      </c>
    </row>
    <row r="4" spans="1:17" x14ac:dyDescent="0.2">
      <c r="A4" t="s">
        <v>248</v>
      </c>
      <c r="B4">
        <v>4</v>
      </c>
      <c r="C4">
        <v>108</v>
      </c>
      <c r="D4">
        <v>93</v>
      </c>
      <c r="E4" t="s">
        <v>91</v>
      </c>
      <c r="F4" t="s">
        <v>112</v>
      </c>
      <c r="G4" t="s">
        <v>326</v>
      </c>
      <c r="H4">
        <v>1</v>
      </c>
      <c r="I4">
        <v>1</v>
      </c>
      <c r="J4">
        <v>4</v>
      </c>
      <c r="K4">
        <v>1</v>
      </c>
      <c r="L4">
        <v>1</v>
      </c>
      <c r="N4">
        <v>16.470872452069369</v>
      </c>
      <c r="O4">
        <v>14.536111831665041</v>
      </c>
      <c r="P4">
        <v>6.497161865234375</v>
      </c>
      <c r="Q4">
        <v>22.575061798095703</v>
      </c>
    </row>
    <row r="5" spans="1:17" x14ac:dyDescent="0.2">
      <c r="A5" t="s">
        <v>327</v>
      </c>
      <c r="B5">
        <v>6</v>
      </c>
      <c r="C5">
        <v>258</v>
      </c>
      <c r="D5">
        <v>110</v>
      </c>
      <c r="E5" t="s">
        <v>246</v>
      </c>
      <c r="F5" t="s">
        <v>328</v>
      </c>
      <c r="G5" t="s">
        <v>329</v>
      </c>
      <c r="H5">
        <v>1</v>
      </c>
      <c r="I5">
        <v>0</v>
      </c>
      <c r="J5">
        <v>3</v>
      </c>
      <c r="K5">
        <v>1</v>
      </c>
      <c r="L5">
        <v>1</v>
      </c>
      <c r="N5">
        <v>28.372377467835506</v>
      </c>
      <c r="O5">
        <v>25.64634895324707</v>
      </c>
      <c r="P5">
        <v>17.607398986816406</v>
      </c>
      <c r="Q5">
        <v>33.685298919677734</v>
      </c>
    </row>
    <row r="6" spans="1:17" x14ac:dyDescent="0.2">
      <c r="A6" t="s">
        <v>330</v>
      </c>
      <c r="B6">
        <v>8</v>
      </c>
      <c r="C6">
        <v>360</v>
      </c>
      <c r="D6">
        <v>175</v>
      </c>
      <c r="E6" t="s">
        <v>108</v>
      </c>
      <c r="F6" t="s">
        <v>201</v>
      </c>
      <c r="G6" t="s">
        <v>325</v>
      </c>
      <c r="H6">
        <v>0</v>
      </c>
      <c r="I6">
        <v>0</v>
      </c>
      <c r="J6">
        <v>3</v>
      </c>
      <c r="K6">
        <v>2</v>
      </c>
      <c r="L6">
        <v>1</v>
      </c>
      <c r="N6">
        <v>28.488152842941517</v>
      </c>
      <c r="O6">
        <v>23.621732711791992</v>
      </c>
      <c r="P6">
        <v>15.582782745361328</v>
      </c>
      <c r="Q6">
        <v>31.660682678222656</v>
      </c>
    </row>
    <row r="7" spans="1:17" x14ac:dyDescent="0.2">
      <c r="A7" t="s">
        <v>220</v>
      </c>
      <c r="B7">
        <v>6</v>
      </c>
      <c r="C7">
        <v>225</v>
      </c>
      <c r="D7">
        <v>105</v>
      </c>
      <c r="E7" t="s">
        <v>82</v>
      </c>
      <c r="F7" t="s">
        <v>331</v>
      </c>
      <c r="G7" t="s">
        <v>332</v>
      </c>
      <c r="H7">
        <v>1</v>
      </c>
      <c r="I7">
        <v>0</v>
      </c>
      <c r="J7">
        <v>3</v>
      </c>
      <c r="K7">
        <v>1</v>
      </c>
      <c r="L7">
        <v>1</v>
      </c>
      <c r="N7">
        <v>26.241367605488097</v>
      </c>
      <c r="O7">
        <v>23.537330627441406</v>
      </c>
      <c r="P7">
        <v>15.498380661010742</v>
      </c>
      <c r="Q7">
        <v>31.57628059387207</v>
      </c>
    </row>
    <row r="8" spans="1:17" x14ac:dyDescent="0.2">
      <c r="A8" t="s">
        <v>132</v>
      </c>
      <c r="B8">
        <v>8</v>
      </c>
      <c r="C8">
        <v>360</v>
      </c>
      <c r="D8">
        <v>245</v>
      </c>
      <c r="E8" t="s">
        <v>235</v>
      </c>
      <c r="F8" t="s">
        <v>265</v>
      </c>
      <c r="G8" t="s">
        <v>333</v>
      </c>
      <c r="H8">
        <v>0</v>
      </c>
      <c r="I8">
        <v>0</v>
      </c>
      <c r="J8">
        <v>3</v>
      </c>
      <c r="K8">
        <v>4</v>
      </c>
      <c r="L8">
        <v>1</v>
      </c>
      <c r="N8">
        <v>17.95352053990511</v>
      </c>
      <c r="O8">
        <v>12.363693237304688</v>
      </c>
      <c r="P8">
        <v>4.3247432708740234</v>
      </c>
      <c r="Q8">
        <v>20.402643203735352</v>
      </c>
    </row>
    <row r="9" spans="1:17" x14ac:dyDescent="0.2">
      <c r="A9" t="s">
        <v>334</v>
      </c>
      <c r="B9">
        <v>4</v>
      </c>
      <c r="C9" t="s">
        <v>335</v>
      </c>
      <c r="D9">
        <v>62</v>
      </c>
      <c r="E9" t="s">
        <v>122</v>
      </c>
      <c r="F9" t="s">
        <v>171</v>
      </c>
      <c r="G9">
        <v>20</v>
      </c>
      <c r="H9">
        <v>1</v>
      </c>
      <c r="I9">
        <v>0</v>
      </c>
      <c r="J9">
        <v>4</v>
      </c>
      <c r="K9">
        <v>2</v>
      </c>
      <c r="L9">
        <v>1</v>
      </c>
      <c r="N9">
        <v>15.903375187417373</v>
      </c>
      <c r="O9">
        <v>19.287214279174805</v>
      </c>
      <c r="P9">
        <v>11.248264312744141</v>
      </c>
      <c r="Q9">
        <v>27.326164245605469</v>
      </c>
    </row>
    <row r="10" spans="1:17" x14ac:dyDescent="0.2">
      <c r="A10" t="s">
        <v>248</v>
      </c>
      <c r="B10">
        <v>4</v>
      </c>
      <c r="C10" t="s">
        <v>336</v>
      </c>
      <c r="D10">
        <v>95</v>
      </c>
      <c r="E10" t="s">
        <v>79</v>
      </c>
      <c r="F10" t="s">
        <v>108</v>
      </c>
      <c r="G10" t="s">
        <v>337</v>
      </c>
      <c r="H10">
        <v>1</v>
      </c>
      <c r="I10">
        <v>0</v>
      </c>
      <c r="J10">
        <v>4</v>
      </c>
      <c r="K10">
        <v>2</v>
      </c>
      <c r="L10">
        <v>1</v>
      </c>
      <c r="N10">
        <v>9.0555070963002908</v>
      </c>
      <c r="O10">
        <v>10.167579650878906</v>
      </c>
      <c r="P10">
        <v>2.1286296844482422</v>
      </c>
      <c r="Q10">
        <v>18.20652961730957</v>
      </c>
    </row>
    <row r="11" spans="1:17" x14ac:dyDescent="0.2">
      <c r="A11" t="s">
        <v>338</v>
      </c>
      <c r="B11">
        <v>6</v>
      </c>
      <c r="C11" t="s">
        <v>339</v>
      </c>
      <c r="D11">
        <v>123</v>
      </c>
      <c r="E11" t="s">
        <v>79</v>
      </c>
      <c r="F11" t="s">
        <v>201</v>
      </c>
      <c r="G11" t="s">
        <v>340</v>
      </c>
      <c r="H11">
        <v>1</v>
      </c>
      <c r="I11">
        <v>0</v>
      </c>
      <c r="J11">
        <v>4</v>
      </c>
      <c r="K11">
        <v>4</v>
      </c>
      <c r="L11">
        <v>1</v>
      </c>
      <c r="N11">
        <v>25.51869431617914</v>
      </c>
      <c r="O11">
        <v>23.055709838867188</v>
      </c>
      <c r="P11">
        <v>15.016759872436523</v>
      </c>
      <c r="Q11">
        <v>31.094659805297852</v>
      </c>
    </row>
    <row r="12" spans="1:17" x14ac:dyDescent="0.2">
      <c r="A12" t="s">
        <v>153</v>
      </c>
      <c r="B12">
        <v>6</v>
      </c>
      <c r="C12" t="s">
        <v>339</v>
      </c>
      <c r="D12">
        <v>123</v>
      </c>
      <c r="E12" t="s">
        <v>79</v>
      </c>
      <c r="F12" t="s">
        <v>201</v>
      </c>
      <c r="G12" t="s">
        <v>197</v>
      </c>
      <c r="H12">
        <v>1</v>
      </c>
      <c r="I12">
        <v>0</v>
      </c>
      <c r="J12">
        <v>4</v>
      </c>
      <c r="K12">
        <v>4</v>
      </c>
      <c r="L12">
        <v>1</v>
      </c>
    </row>
    <row r="13" spans="1:17" x14ac:dyDescent="0.2">
      <c r="A13" t="s">
        <v>209</v>
      </c>
      <c r="B13">
        <v>8</v>
      </c>
      <c r="C13" t="s">
        <v>341</v>
      </c>
      <c r="D13">
        <v>180</v>
      </c>
      <c r="E13" t="s">
        <v>227</v>
      </c>
      <c r="F13" t="s">
        <v>342</v>
      </c>
      <c r="G13" t="s">
        <v>204</v>
      </c>
      <c r="H13">
        <v>0</v>
      </c>
      <c r="I13">
        <v>0</v>
      </c>
      <c r="J13">
        <v>3</v>
      </c>
      <c r="K13">
        <v>3</v>
      </c>
      <c r="L13">
        <v>1</v>
      </c>
    </row>
    <row r="14" spans="1:17" x14ac:dyDescent="0.2">
      <c r="A14" t="s">
        <v>343</v>
      </c>
      <c r="B14">
        <v>8</v>
      </c>
      <c r="C14" t="s">
        <v>341</v>
      </c>
      <c r="D14">
        <v>180</v>
      </c>
      <c r="E14" t="s">
        <v>227</v>
      </c>
      <c r="F14" t="s">
        <v>344</v>
      </c>
      <c r="G14" t="s">
        <v>100</v>
      </c>
      <c r="H14">
        <v>0</v>
      </c>
      <c r="I14">
        <v>0</v>
      </c>
      <c r="J14">
        <v>3</v>
      </c>
      <c r="K14">
        <v>3</v>
      </c>
      <c r="L14">
        <v>1</v>
      </c>
    </row>
    <row r="15" spans="1:17" x14ac:dyDescent="0.2">
      <c r="A15" t="s">
        <v>95</v>
      </c>
      <c r="B15">
        <v>8</v>
      </c>
      <c r="C15" t="s">
        <v>341</v>
      </c>
      <c r="D15">
        <v>180</v>
      </c>
      <c r="E15" t="s">
        <v>227</v>
      </c>
      <c r="F15" t="s">
        <v>345</v>
      </c>
      <c r="G15">
        <v>18</v>
      </c>
      <c r="H15">
        <v>0</v>
      </c>
      <c r="I15">
        <v>0</v>
      </c>
      <c r="J15">
        <v>3</v>
      </c>
      <c r="K15">
        <v>3</v>
      </c>
      <c r="L15">
        <v>1</v>
      </c>
    </row>
    <row r="16" spans="1:17" x14ac:dyDescent="0.2">
      <c r="A16" t="s">
        <v>346</v>
      </c>
      <c r="B16">
        <v>8</v>
      </c>
      <c r="C16">
        <v>472</v>
      </c>
      <c r="D16">
        <v>205</v>
      </c>
      <c r="E16" t="s">
        <v>94</v>
      </c>
      <c r="F16" t="s">
        <v>99</v>
      </c>
      <c r="G16" t="s">
        <v>347</v>
      </c>
      <c r="H16">
        <v>0</v>
      </c>
      <c r="I16">
        <v>0</v>
      </c>
      <c r="J16">
        <v>3</v>
      </c>
      <c r="K16">
        <v>4</v>
      </c>
      <c r="L16">
        <v>1</v>
      </c>
    </row>
    <row r="17" spans="1:12" x14ac:dyDescent="0.2">
      <c r="A17" t="s">
        <v>346</v>
      </c>
      <c r="B17">
        <v>8</v>
      </c>
      <c r="C17">
        <v>460</v>
      </c>
      <c r="D17">
        <v>215</v>
      </c>
      <c r="E17">
        <v>3</v>
      </c>
      <c r="F17" t="s">
        <v>348</v>
      </c>
      <c r="G17" t="s">
        <v>349</v>
      </c>
      <c r="H17">
        <v>0</v>
      </c>
      <c r="I17">
        <v>0</v>
      </c>
      <c r="J17">
        <v>3</v>
      </c>
      <c r="K17">
        <v>4</v>
      </c>
      <c r="L17">
        <v>1</v>
      </c>
    </row>
    <row r="18" spans="1:12" x14ac:dyDescent="0.2">
      <c r="A18" t="s">
        <v>350</v>
      </c>
      <c r="B18">
        <v>8</v>
      </c>
      <c r="C18">
        <v>440</v>
      </c>
      <c r="D18">
        <v>230</v>
      </c>
      <c r="E18" t="s">
        <v>212</v>
      </c>
      <c r="F18" t="s">
        <v>351</v>
      </c>
      <c r="G18" t="s">
        <v>352</v>
      </c>
      <c r="H18">
        <v>0</v>
      </c>
      <c r="I18">
        <v>0</v>
      </c>
      <c r="J18">
        <v>3</v>
      </c>
      <c r="K18">
        <v>4</v>
      </c>
      <c r="L18">
        <v>1</v>
      </c>
    </row>
    <row r="19" spans="1:12" x14ac:dyDescent="0.2">
      <c r="A19" t="s">
        <v>353</v>
      </c>
      <c r="B19">
        <v>4</v>
      </c>
      <c r="C19" t="s">
        <v>354</v>
      </c>
      <c r="D19">
        <v>66</v>
      </c>
      <c r="E19" t="s">
        <v>355</v>
      </c>
      <c r="F19" t="s">
        <v>114</v>
      </c>
      <c r="G19" t="s">
        <v>356</v>
      </c>
      <c r="H19">
        <v>1</v>
      </c>
      <c r="I19">
        <v>1</v>
      </c>
      <c r="J19">
        <v>4</v>
      </c>
      <c r="K19">
        <v>1</v>
      </c>
      <c r="L19">
        <v>1</v>
      </c>
    </row>
    <row r="20" spans="1:12" x14ac:dyDescent="0.2">
      <c r="A20" t="s">
        <v>357</v>
      </c>
      <c r="B20">
        <v>4</v>
      </c>
      <c r="C20" t="s">
        <v>358</v>
      </c>
      <c r="D20">
        <v>52</v>
      </c>
      <c r="E20" t="s">
        <v>359</v>
      </c>
      <c r="F20" t="s">
        <v>360</v>
      </c>
      <c r="G20" t="s">
        <v>361</v>
      </c>
      <c r="H20">
        <v>1</v>
      </c>
      <c r="I20">
        <v>1</v>
      </c>
      <c r="J20">
        <v>4</v>
      </c>
      <c r="K20">
        <v>2</v>
      </c>
      <c r="L20">
        <v>1</v>
      </c>
    </row>
    <row r="21" spans="1:12" x14ac:dyDescent="0.2">
      <c r="A21" t="s">
        <v>362</v>
      </c>
      <c r="B21">
        <v>4</v>
      </c>
      <c r="C21" t="s">
        <v>363</v>
      </c>
      <c r="D21">
        <v>65</v>
      </c>
      <c r="E21" t="s">
        <v>364</v>
      </c>
      <c r="F21" t="s">
        <v>365</v>
      </c>
      <c r="G21" t="s">
        <v>366</v>
      </c>
      <c r="H21">
        <v>1</v>
      </c>
      <c r="I21">
        <v>1</v>
      </c>
      <c r="J21">
        <v>4</v>
      </c>
      <c r="K21">
        <v>1</v>
      </c>
      <c r="L21">
        <v>1</v>
      </c>
    </row>
    <row r="22" spans="1:12" x14ac:dyDescent="0.2">
      <c r="A22" t="s">
        <v>260</v>
      </c>
      <c r="B22">
        <v>4</v>
      </c>
      <c r="C22" t="s">
        <v>367</v>
      </c>
      <c r="D22">
        <v>97</v>
      </c>
      <c r="E22" t="s">
        <v>187</v>
      </c>
      <c r="F22" t="s">
        <v>368</v>
      </c>
      <c r="G22" t="s">
        <v>369</v>
      </c>
      <c r="H22">
        <v>1</v>
      </c>
      <c r="I22">
        <v>0</v>
      </c>
      <c r="J22">
        <v>3</v>
      </c>
      <c r="K22">
        <v>1</v>
      </c>
      <c r="L22">
        <v>1</v>
      </c>
    </row>
    <row r="23" spans="1:12" x14ac:dyDescent="0.2">
      <c r="A23" t="s">
        <v>183</v>
      </c>
      <c r="B23">
        <v>8</v>
      </c>
      <c r="C23">
        <v>318</v>
      </c>
      <c r="D23">
        <v>150</v>
      </c>
      <c r="E23" t="s">
        <v>82</v>
      </c>
      <c r="F23" t="s">
        <v>149</v>
      </c>
      <c r="G23" t="s">
        <v>370</v>
      </c>
      <c r="H23">
        <v>0</v>
      </c>
      <c r="I23">
        <v>0</v>
      </c>
      <c r="J23">
        <v>3</v>
      </c>
      <c r="K23">
        <v>2</v>
      </c>
      <c r="L23">
        <v>1</v>
      </c>
    </row>
    <row r="24" spans="1:12" x14ac:dyDescent="0.2">
      <c r="A24" t="s">
        <v>95</v>
      </c>
      <c r="B24">
        <v>8</v>
      </c>
      <c r="C24">
        <v>304</v>
      </c>
      <c r="D24">
        <v>150</v>
      </c>
      <c r="E24" t="s">
        <v>108</v>
      </c>
      <c r="F24" t="s">
        <v>371</v>
      </c>
      <c r="G24" t="s">
        <v>343</v>
      </c>
      <c r="H24">
        <v>0</v>
      </c>
      <c r="I24">
        <v>0</v>
      </c>
      <c r="J24">
        <v>3</v>
      </c>
      <c r="K24">
        <v>2</v>
      </c>
      <c r="L24">
        <v>1</v>
      </c>
    </row>
    <row r="25" spans="1:12" x14ac:dyDescent="0.2">
      <c r="A25" t="s">
        <v>160</v>
      </c>
      <c r="B25">
        <v>8</v>
      </c>
      <c r="C25">
        <v>350</v>
      </c>
      <c r="D25">
        <v>245</v>
      </c>
      <c r="E25" t="s">
        <v>344</v>
      </c>
      <c r="F25" t="s">
        <v>174</v>
      </c>
      <c r="G25" t="s">
        <v>372</v>
      </c>
      <c r="H25">
        <v>0</v>
      </c>
      <c r="I25">
        <v>0</v>
      </c>
      <c r="J25">
        <v>3</v>
      </c>
      <c r="K25">
        <v>4</v>
      </c>
      <c r="L25">
        <v>0</v>
      </c>
    </row>
    <row r="26" spans="1:12" x14ac:dyDescent="0.2">
      <c r="A26" t="s">
        <v>338</v>
      </c>
      <c r="B26">
        <v>8</v>
      </c>
      <c r="C26">
        <v>400</v>
      </c>
      <c r="D26">
        <v>175</v>
      </c>
      <c r="E26" t="s">
        <v>246</v>
      </c>
      <c r="F26" t="s">
        <v>373</v>
      </c>
      <c r="G26" t="s">
        <v>374</v>
      </c>
      <c r="H26">
        <v>0</v>
      </c>
      <c r="I26">
        <v>0</v>
      </c>
      <c r="J26">
        <v>3</v>
      </c>
      <c r="K26">
        <v>2</v>
      </c>
      <c r="L26">
        <v>0</v>
      </c>
    </row>
    <row r="27" spans="1:12" x14ac:dyDescent="0.2">
      <c r="A27" t="s">
        <v>375</v>
      </c>
      <c r="B27">
        <v>4</v>
      </c>
      <c r="C27">
        <v>79</v>
      </c>
      <c r="D27">
        <v>66</v>
      </c>
      <c r="E27" t="s">
        <v>355</v>
      </c>
      <c r="F27" t="s">
        <v>376</v>
      </c>
      <c r="G27" t="s">
        <v>197</v>
      </c>
      <c r="H27">
        <v>1</v>
      </c>
      <c r="I27">
        <v>1</v>
      </c>
      <c r="J27">
        <v>4</v>
      </c>
      <c r="K27">
        <v>1</v>
      </c>
      <c r="L27">
        <v>0</v>
      </c>
    </row>
    <row r="28" spans="1:12" x14ac:dyDescent="0.2">
      <c r="A28">
        <v>26</v>
      </c>
      <c r="B28">
        <v>4</v>
      </c>
      <c r="C28" t="s">
        <v>377</v>
      </c>
      <c r="D28">
        <v>91</v>
      </c>
      <c r="E28" t="s">
        <v>276</v>
      </c>
      <c r="F28" t="s">
        <v>80</v>
      </c>
      <c r="G28" t="s">
        <v>214</v>
      </c>
      <c r="H28">
        <v>0</v>
      </c>
      <c r="I28">
        <v>1</v>
      </c>
      <c r="J28">
        <v>5</v>
      </c>
      <c r="K28">
        <v>2</v>
      </c>
      <c r="L28">
        <v>0</v>
      </c>
    </row>
    <row r="29" spans="1:12" x14ac:dyDescent="0.2">
      <c r="A29" t="s">
        <v>357</v>
      </c>
      <c r="B29">
        <v>4</v>
      </c>
      <c r="C29" t="s">
        <v>378</v>
      </c>
      <c r="D29">
        <v>113</v>
      </c>
      <c r="E29" t="s">
        <v>379</v>
      </c>
      <c r="F29" t="s">
        <v>380</v>
      </c>
      <c r="G29" t="s">
        <v>381</v>
      </c>
      <c r="H29">
        <v>1</v>
      </c>
      <c r="I29">
        <v>1</v>
      </c>
      <c r="J29">
        <v>5</v>
      </c>
      <c r="K29">
        <v>2</v>
      </c>
      <c r="L29">
        <v>0</v>
      </c>
    </row>
    <row r="30" spans="1:12" x14ac:dyDescent="0.2">
      <c r="A30" t="s">
        <v>382</v>
      </c>
      <c r="B30">
        <v>8</v>
      </c>
      <c r="C30">
        <v>351</v>
      </c>
      <c r="D30">
        <v>264</v>
      </c>
      <c r="E30" t="s">
        <v>364</v>
      </c>
      <c r="F30" t="s">
        <v>87</v>
      </c>
      <c r="G30" t="s">
        <v>383</v>
      </c>
      <c r="H30">
        <v>0</v>
      </c>
      <c r="I30">
        <v>1</v>
      </c>
      <c r="J30">
        <v>5</v>
      </c>
      <c r="K30">
        <v>4</v>
      </c>
      <c r="L30">
        <v>0</v>
      </c>
    </row>
    <row r="31" spans="1:12" x14ac:dyDescent="0.2">
      <c r="A31" t="s">
        <v>384</v>
      </c>
      <c r="B31">
        <v>6</v>
      </c>
      <c r="C31">
        <v>145</v>
      </c>
      <c r="D31">
        <v>175</v>
      </c>
      <c r="E31" t="s">
        <v>385</v>
      </c>
      <c r="F31" t="s">
        <v>164</v>
      </c>
      <c r="G31" t="s">
        <v>183</v>
      </c>
      <c r="H31">
        <v>0</v>
      </c>
      <c r="I31">
        <v>1</v>
      </c>
      <c r="J31">
        <v>5</v>
      </c>
      <c r="K31">
        <v>6</v>
      </c>
      <c r="L31">
        <v>0</v>
      </c>
    </row>
    <row r="32" spans="1:12" x14ac:dyDescent="0.2">
      <c r="A32">
        <v>15</v>
      </c>
      <c r="B32">
        <v>8</v>
      </c>
      <c r="C32">
        <v>301</v>
      </c>
      <c r="D32">
        <v>335</v>
      </c>
      <c r="E32" t="s">
        <v>205</v>
      </c>
      <c r="F32" t="s">
        <v>265</v>
      </c>
      <c r="G32" t="s">
        <v>97</v>
      </c>
      <c r="H32">
        <v>0</v>
      </c>
      <c r="I32">
        <v>1</v>
      </c>
      <c r="J32">
        <v>5</v>
      </c>
      <c r="K32">
        <v>8</v>
      </c>
      <c r="L32">
        <v>0</v>
      </c>
    </row>
    <row r="33" spans="1:12" x14ac:dyDescent="0.2">
      <c r="A33" t="s">
        <v>327</v>
      </c>
      <c r="B33">
        <v>4</v>
      </c>
      <c r="C33">
        <v>121</v>
      </c>
      <c r="D33">
        <v>109</v>
      </c>
      <c r="E33" t="s">
        <v>386</v>
      </c>
      <c r="F33" t="s">
        <v>185</v>
      </c>
      <c r="G33" t="s">
        <v>84</v>
      </c>
      <c r="H33">
        <v>1</v>
      </c>
      <c r="I33">
        <v>1</v>
      </c>
      <c r="J33">
        <v>4</v>
      </c>
      <c r="K33">
        <v>2</v>
      </c>
      <c r="L33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0D1D-F2ED-3C44-8413-D7AD7A6D38DF}">
  <dimension ref="A1:P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baseColWidth="10" defaultRowHeight="16" outlineLevelCol="1" x14ac:dyDescent="0.2"/>
  <cols>
    <col min="1" max="1" width="15" bestFit="1" customWidth="1"/>
    <col min="2" max="2" width="14.5" bestFit="1" customWidth="1"/>
    <col min="3" max="3" width="14.83203125" bestFit="1" customWidth="1"/>
    <col min="4" max="4" width="14.33203125" bestFit="1" customWidth="1"/>
    <col min="5" max="5" width="6" bestFit="1" customWidth="1"/>
    <col min="6" max="6" width="12.5" bestFit="1" customWidth="1"/>
    <col min="7" max="7" width="12.5" customWidth="1"/>
    <col min="9" max="9" width="14.33203125" bestFit="1" customWidth="1"/>
    <col min="14" max="14" width="13.1640625" hidden="1" customWidth="1" outlineLevel="1"/>
    <col min="15" max="15" width="13.33203125" hidden="1" customWidth="1" outlineLevel="1"/>
    <col min="16" max="16" width="12.1640625" bestFit="1" customWidth="1" collapsed="1"/>
  </cols>
  <sheetData>
    <row r="1" spans="1:16" x14ac:dyDescent="0.2">
      <c r="A1" t="s">
        <v>302</v>
      </c>
      <c r="B1" t="s">
        <v>303</v>
      </c>
      <c r="C1" t="s">
        <v>304</v>
      </c>
      <c r="D1" t="s">
        <v>305</v>
      </c>
      <c r="E1" t="s">
        <v>75</v>
      </c>
      <c r="F1" t="s">
        <v>76</v>
      </c>
      <c r="G1" s="6" t="s">
        <v>1185</v>
      </c>
      <c r="I1" s="5" t="s">
        <v>1177</v>
      </c>
      <c r="J1" s="5" t="s">
        <v>1178</v>
      </c>
      <c r="N1" s="5" t="s">
        <v>1186</v>
      </c>
      <c r="O1" s="5" t="s">
        <v>1184</v>
      </c>
      <c r="P1" s="5" t="s">
        <v>1183</v>
      </c>
    </row>
    <row r="2" spans="1:16" x14ac:dyDescent="0.2">
      <c r="A2" t="s">
        <v>143</v>
      </c>
      <c r="B2" t="s">
        <v>218</v>
      </c>
      <c r="C2" t="s">
        <v>243</v>
      </c>
      <c r="D2" t="s">
        <v>189</v>
      </c>
      <c r="E2">
        <v>0</v>
      </c>
      <c r="F2">
        <v>1</v>
      </c>
      <c r="G2">
        <f>IF(F2&lt;=0,ROW(),0)</f>
        <v>0</v>
      </c>
      <c r="I2" s="3" cm="1">
        <f t="array" ref="I2:I47">_xldudf_TECHTO_MLCLASSIFICATION(A1:F151,"HistGradientBoostingClassifier", 3)</f>
        <v>0</v>
      </c>
      <c r="J2" s="3" cm="1">
        <f t="array" ref="J2:L47">_xldudf_TECHTO_MLCLASSIFICATION(A1:F151,,,TRUE)</f>
        <v>0</v>
      </c>
      <c r="K2" s="6">
        <v>1</v>
      </c>
      <c r="L2" s="6">
        <v>2</v>
      </c>
      <c r="N2" cm="1">
        <f t="array" ref="N2:N47">_xlfn.UNIQUE(G2:G151)</f>
        <v>0</v>
      </c>
      <c r="P2" s="4">
        <f ca="1">AVERAGE(P3:P47)</f>
        <v>0.91111111111111109</v>
      </c>
    </row>
    <row r="3" spans="1:16" x14ac:dyDescent="0.2">
      <c r="A3" t="s">
        <v>200</v>
      </c>
      <c r="B3" t="s">
        <v>129</v>
      </c>
      <c r="C3" t="s">
        <v>243</v>
      </c>
      <c r="D3" t="s">
        <v>189</v>
      </c>
      <c r="E3">
        <v>0</v>
      </c>
      <c r="F3">
        <v>1</v>
      </c>
      <c r="G3">
        <f t="shared" ref="G3:G66" si="0">IF(F3&lt;=0,ROW(),0)</f>
        <v>0</v>
      </c>
      <c r="I3">
        <v>0</v>
      </c>
      <c r="J3">
        <v>1</v>
      </c>
      <c r="K3">
        <v>0</v>
      </c>
      <c r="L3">
        <v>0</v>
      </c>
      <c r="N3">
        <v>4</v>
      </c>
      <c r="O3">
        <f ca="1">OFFSET($E$1,$N3-1,0)</f>
        <v>0</v>
      </c>
      <c r="P3">
        <f ca="1">(O3=I3)+0</f>
        <v>1</v>
      </c>
    </row>
    <row r="4" spans="1:16" x14ac:dyDescent="0.2">
      <c r="A4" t="s">
        <v>167</v>
      </c>
      <c r="B4" t="s">
        <v>156</v>
      </c>
      <c r="C4" t="s">
        <v>225</v>
      </c>
      <c r="D4" t="s">
        <v>189</v>
      </c>
      <c r="E4">
        <v>0</v>
      </c>
      <c r="F4">
        <v>0</v>
      </c>
      <c r="G4">
        <f t="shared" si="0"/>
        <v>4</v>
      </c>
      <c r="I4">
        <v>0</v>
      </c>
      <c r="J4">
        <v>1</v>
      </c>
      <c r="K4">
        <v>0</v>
      </c>
      <c r="L4">
        <v>0</v>
      </c>
      <c r="N4">
        <v>9</v>
      </c>
      <c r="O4">
        <f t="shared" ref="O4:O47" ca="1" si="1">OFFSET($E$1,$N4-1,0)</f>
        <v>0</v>
      </c>
      <c r="P4">
        <f t="shared" ref="P4:P47" ca="1" si="2">(O4=I4)+0</f>
        <v>1</v>
      </c>
    </row>
    <row r="5" spans="1:16" x14ac:dyDescent="0.2">
      <c r="A5" t="s">
        <v>184</v>
      </c>
      <c r="B5" t="s">
        <v>121</v>
      </c>
      <c r="C5" t="s">
        <v>168</v>
      </c>
      <c r="D5" t="s">
        <v>189</v>
      </c>
      <c r="E5">
        <v>0</v>
      </c>
      <c r="F5">
        <v>1</v>
      </c>
      <c r="G5">
        <f t="shared" si="0"/>
        <v>0</v>
      </c>
      <c r="I5">
        <v>0</v>
      </c>
      <c r="J5">
        <v>1</v>
      </c>
      <c r="K5">
        <v>0</v>
      </c>
      <c r="L5">
        <v>0</v>
      </c>
      <c r="N5">
        <v>12</v>
      </c>
      <c r="O5">
        <f t="shared" ca="1" si="1"/>
        <v>0</v>
      </c>
      <c r="P5">
        <f t="shared" ca="1" si="2"/>
        <v>1</v>
      </c>
    </row>
    <row r="6" spans="1:16" x14ac:dyDescent="0.2">
      <c r="A6" t="s">
        <v>115</v>
      </c>
      <c r="B6" t="s">
        <v>256</v>
      </c>
      <c r="C6" t="s">
        <v>243</v>
      </c>
      <c r="D6" t="s">
        <v>189</v>
      </c>
      <c r="E6">
        <v>0</v>
      </c>
      <c r="F6">
        <v>1</v>
      </c>
      <c r="G6">
        <f t="shared" si="0"/>
        <v>0</v>
      </c>
      <c r="I6">
        <v>0</v>
      </c>
      <c r="J6">
        <v>0.98</v>
      </c>
      <c r="K6">
        <v>0.02</v>
      </c>
      <c r="L6">
        <v>0</v>
      </c>
      <c r="N6">
        <v>16</v>
      </c>
      <c r="O6">
        <f t="shared" ca="1" si="1"/>
        <v>0</v>
      </c>
      <c r="P6">
        <f t="shared" ca="1" si="2"/>
        <v>1</v>
      </c>
    </row>
    <row r="7" spans="1:16" x14ac:dyDescent="0.2">
      <c r="A7" t="s">
        <v>123</v>
      </c>
      <c r="B7" t="s">
        <v>241</v>
      </c>
      <c r="C7" t="s">
        <v>194</v>
      </c>
      <c r="D7" t="s">
        <v>138</v>
      </c>
      <c r="E7">
        <v>0</v>
      </c>
      <c r="F7">
        <v>1</v>
      </c>
      <c r="G7">
        <f t="shared" si="0"/>
        <v>0</v>
      </c>
      <c r="I7">
        <v>0</v>
      </c>
      <c r="J7">
        <v>0.97</v>
      </c>
      <c r="K7">
        <v>0.03</v>
      </c>
      <c r="L7">
        <v>0</v>
      </c>
      <c r="N7">
        <v>20</v>
      </c>
      <c r="O7">
        <f t="shared" ca="1" si="1"/>
        <v>0</v>
      </c>
      <c r="P7">
        <f t="shared" ca="1" si="2"/>
        <v>1</v>
      </c>
    </row>
    <row r="8" spans="1:16" x14ac:dyDescent="0.2">
      <c r="A8" t="s">
        <v>184</v>
      </c>
      <c r="B8" t="s">
        <v>83</v>
      </c>
      <c r="C8" t="s">
        <v>243</v>
      </c>
      <c r="D8" t="s">
        <v>86</v>
      </c>
      <c r="E8">
        <v>0</v>
      </c>
      <c r="F8">
        <v>1</v>
      </c>
      <c r="G8">
        <f t="shared" si="0"/>
        <v>0</v>
      </c>
      <c r="I8">
        <v>0</v>
      </c>
      <c r="J8">
        <v>1</v>
      </c>
      <c r="K8">
        <v>0</v>
      </c>
      <c r="L8">
        <v>0</v>
      </c>
      <c r="N8">
        <v>22</v>
      </c>
      <c r="O8">
        <f t="shared" ca="1" si="1"/>
        <v>0</v>
      </c>
      <c r="P8">
        <f t="shared" ca="1" si="2"/>
        <v>1</v>
      </c>
    </row>
    <row r="9" spans="1:16" x14ac:dyDescent="0.2">
      <c r="A9" t="s">
        <v>115</v>
      </c>
      <c r="B9" t="s">
        <v>83</v>
      </c>
      <c r="C9" t="s">
        <v>168</v>
      </c>
      <c r="D9" t="s">
        <v>189</v>
      </c>
      <c r="E9">
        <v>0</v>
      </c>
      <c r="F9">
        <v>0</v>
      </c>
      <c r="G9">
        <f t="shared" si="0"/>
        <v>9</v>
      </c>
      <c r="I9">
        <v>0</v>
      </c>
      <c r="J9">
        <v>1</v>
      </c>
      <c r="K9">
        <v>0</v>
      </c>
      <c r="L9">
        <v>0</v>
      </c>
      <c r="N9">
        <v>24</v>
      </c>
      <c r="O9">
        <f t="shared" ca="1" si="1"/>
        <v>0</v>
      </c>
      <c r="P9">
        <f t="shared" ca="1" si="2"/>
        <v>1</v>
      </c>
    </row>
    <row r="10" spans="1:16" x14ac:dyDescent="0.2">
      <c r="A10" t="s">
        <v>289</v>
      </c>
      <c r="B10" t="s">
        <v>119</v>
      </c>
      <c r="C10" t="s">
        <v>243</v>
      </c>
      <c r="D10" t="s">
        <v>189</v>
      </c>
      <c r="E10">
        <v>0</v>
      </c>
      <c r="F10">
        <v>1</v>
      </c>
      <c r="G10">
        <f t="shared" si="0"/>
        <v>0</v>
      </c>
      <c r="I10">
        <v>0</v>
      </c>
      <c r="J10">
        <v>1</v>
      </c>
      <c r="K10">
        <v>0</v>
      </c>
      <c r="L10">
        <v>0</v>
      </c>
      <c r="N10">
        <v>25</v>
      </c>
      <c r="O10">
        <f t="shared" ca="1" si="1"/>
        <v>0</v>
      </c>
      <c r="P10">
        <f t="shared" ca="1" si="2"/>
        <v>1</v>
      </c>
    </row>
    <row r="11" spans="1:16" x14ac:dyDescent="0.2">
      <c r="A11" t="s">
        <v>200</v>
      </c>
      <c r="B11" t="s">
        <v>121</v>
      </c>
      <c r="C11" t="s">
        <v>168</v>
      </c>
      <c r="D11" t="s">
        <v>306</v>
      </c>
      <c r="E11">
        <v>0</v>
      </c>
      <c r="F11">
        <v>1</v>
      </c>
      <c r="G11">
        <f t="shared" si="0"/>
        <v>0</v>
      </c>
      <c r="I11">
        <v>0</v>
      </c>
      <c r="J11">
        <v>1</v>
      </c>
      <c r="K11">
        <v>0</v>
      </c>
      <c r="L11">
        <v>0</v>
      </c>
      <c r="N11">
        <v>30</v>
      </c>
      <c r="O11">
        <f t="shared" ca="1" si="1"/>
        <v>0</v>
      </c>
      <c r="P11">
        <f t="shared" ca="1" si="2"/>
        <v>1</v>
      </c>
    </row>
    <row r="12" spans="1:16" x14ac:dyDescent="0.2">
      <c r="A12" t="s">
        <v>123</v>
      </c>
      <c r="B12" t="s">
        <v>187</v>
      </c>
      <c r="C12" t="s">
        <v>168</v>
      </c>
      <c r="D12" t="s">
        <v>189</v>
      </c>
      <c r="E12">
        <v>0</v>
      </c>
      <c r="F12">
        <v>0</v>
      </c>
      <c r="G12">
        <f t="shared" si="0"/>
        <v>12</v>
      </c>
      <c r="I12">
        <v>0</v>
      </c>
      <c r="J12">
        <v>1</v>
      </c>
      <c r="K12">
        <v>0</v>
      </c>
      <c r="L12">
        <v>0</v>
      </c>
      <c r="N12">
        <v>37</v>
      </c>
      <c r="O12">
        <f t="shared" ca="1" si="1"/>
        <v>0</v>
      </c>
      <c r="P12">
        <f t="shared" ca="1" si="2"/>
        <v>1</v>
      </c>
    </row>
    <row r="13" spans="1:16" x14ac:dyDescent="0.2">
      <c r="A13" t="s">
        <v>158</v>
      </c>
      <c r="B13" t="s">
        <v>83</v>
      </c>
      <c r="C13" t="s">
        <v>152</v>
      </c>
      <c r="D13" t="s">
        <v>189</v>
      </c>
      <c r="E13">
        <v>0</v>
      </c>
      <c r="F13">
        <v>1</v>
      </c>
      <c r="G13">
        <f t="shared" si="0"/>
        <v>0</v>
      </c>
      <c r="I13">
        <v>0</v>
      </c>
      <c r="J13">
        <v>1</v>
      </c>
      <c r="K13">
        <v>0</v>
      </c>
      <c r="L13">
        <v>0</v>
      </c>
      <c r="N13">
        <v>40</v>
      </c>
      <c r="O13">
        <f t="shared" ca="1" si="1"/>
        <v>0</v>
      </c>
      <c r="P13">
        <f t="shared" ca="1" si="2"/>
        <v>1</v>
      </c>
    </row>
    <row r="14" spans="1:16" x14ac:dyDescent="0.2">
      <c r="A14" t="s">
        <v>158</v>
      </c>
      <c r="B14" t="s">
        <v>129</v>
      </c>
      <c r="C14" t="s">
        <v>243</v>
      </c>
      <c r="D14" t="s">
        <v>306</v>
      </c>
      <c r="E14">
        <v>0</v>
      </c>
      <c r="F14">
        <v>1</v>
      </c>
      <c r="G14">
        <f t="shared" si="0"/>
        <v>0</v>
      </c>
      <c r="I14">
        <v>0</v>
      </c>
      <c r="J14">
        <v>1</v>
      </c>
      <c r="K14">
        <v>0</v>
      </c>
      <c r="L14">
        <v>0</v>
      </c>
      <c r="N14">
        <v>42</v>
      </c>
      <c r="O14">
        <f t="shared" ca="1" si="1"/>
        <v>0</v>
      </c>
      <c r="P14">
        <f t="shared" ca="1" si="2"/>
        <v>1</v>
      </c>
    </row>
    <row r="15" spans="1:16" x14ac:dyDescent="0.2">
      <c r="A15" t="s">
        <v>281</v>
      </c>
      <c r="B15" t="s">
        <v>129</v>
      </c>
      <c r="C15" t="s">
        <v>181</v>
      </c>
      <c r="D15" t="s">
        <v>306</v>
      </c>
      <c r="E15">
        <v>0</v>
      </c>
      <c r="F15">
        <v>1</v>
      </c>
      <c r="G15">
        <f t="shared" si="0"/>
        <v>0</v>
      </c>
      <c r="I15">
        <v>0</v>
      </c>
      <c r="J15">
        <v>1</v>
      </c>
      <c r="K15">
        <v>0</v>
      </c>
      <c r="L15">
        <v>0</v>
      </c>
      <c r="N15">
        <v>44</v>
      </c>
      <c r="O15">
        <f t="shared" ca="1" si="1"/>
        <v>0</v>
      </c>
      <c r="P15">
        <f t="shared" ca="1" si="2"/>
        <v>1</v>
      </c>
    </row>
    <row r="16" spans="1:16" x14ac:dyDescent="0.2">
      <c r="A16" t="s">
        <v>278</v>
      </c>
      <c r="B16" t="s">
        <v>151</v>
      </c>
      <c r="C16" t="s">
        <v>128</v>
      </c>
      <c r="D16" t="s">
        <v>189</v>
      </c>
      <c r="E16">
        <v>0</v>
      </c>
      <c r="F16">
        <v>0</v>
      </c>
      <c r="G16">
        <f t="shared" si="0"/>
        <v>16</v>
      </c>
      <c r="I16">
        <v>0</v>
      </c>
      <c r="J16">
        <v>1</v>
      </c>
      <c r="K16">
        <v>0</v>
      </c>
      <c r="L16">
        <v>0</v>
      </c>
      <c r="N16">
        <v>45</v>
      </c>
      <c r="O16">
        <f t="shared" ca="1" si="1"/>
        <v>0</v>
      </c>
      <c r="P16">
        <f t="shared" ca="1" si="2"/>
        <v>1</v>
      </c>
    </row>
    <row r="17" spans="1:16" x14ac:dyDescent="0.2">
      <c r="A17" t="s">
        <v>169</v>
      </c>
      <c r="B17" t="s">
        <v>289</v>
      </c>
      <c r="C17" t="s">
        <v>168</v>
      </c>
      <c r="D17" t="s">
        <v>138</v>
      </c>
      <c r="E17">
        <v>0</v>
      </c>
      <c r="F17">
        <v>1</v>
      </c>
      <c r="G17">
        <f t="shared" si="0"/>
        <v>0</v>
      </c>
      <c r="I17">
        <v>0</v>
      </c>
      <c r="J17">
        <v>1</v>
      </c>
      <c r="K17">
        <v>0</v>
      </c>
      <c r="L17">
        <v>0</v>
      </c>
      <c r="N17">
        <v>51</v>
      </c>
      <c r="O17">
        <f t="shared" ca="1" si="1"/>
        <v>0</v>
      </c>
      <c r="P17">
        <f t="shared" ca="1" si="2"/>
        <v>1</v>
      </c>
    </row>
    <row r="18" spans="1:16" x14ac:dyDescent="0.2">
      <c r="A18" t="s">
        <v>123</v>
      </c>
      <c r="B18" t="s">
        <v>241</v>
      </c>
      <c r="C18" t="s">
        <v>225</v>
      </c>
      <c r="D18" t="s">
        <v>138</v>
      </c>
      <c r="E18">
        <v>0</v>
      </c>
      <c r="F18">
        <v>1</v>
      </c>
      <c r="G18">
        <f t="shared" si="0"/>
        <v>0</v>
      </c>
      <c r="I18">
        <v>1</v>
      </c>
      <c r="J18">
        <v>0</v>
      </c>
      <c r="K18">
        <v>0.93</v>
      </c>
      <c r="L18">
        <v>7.0000000000000007E-2</v>
      </c>
      <c r="N18">
        <v>53</v>
      </c>
      <c r="O18">
        <f t="shared" ca="1" si="1"/>
        <v>1</v>
      </c>
      <c r="P18">
        <f t="shared" ca="1" si="2"/>
        <v>1</v>
      </c>
    </row>
    <row r="19" spans="1:16" x14ac:dyDescent="0.2">
      <c r="A19" t="s">
        <v>143</v>
      </c>
      <c r="B19" t="s">
        <v>218</v>
      </c>
      <c r="C19" t="s">
        <v>243</v>
      </c>
      <c r="D19" t="s">
        <v>86</v>
      </c>
      <c r="E19">
        <v>0</v>
      </c>
      <c r="F19">
        <v>1</v>
      </c>
      <c r="G19">
        <f t="shared" si="0"/>
        <v>0</v>
      </c>
      <c r="I19">
        <v>1</v>
      </c>
      <c r="J19">
        <v>0</v>
      </c>
      <c r="K19">
        <v>1</v>
      </c>
      <c r="L19">
        <v>0</v>
      </c>
      <c r="N19">
        <v>55</v>
      </c>
      <c r="O19">
        <f t="shared" ca="1" si="1"/>
        <v>1</v>
      </c>
      <c r="P19">
        <f t="shared" ca="1" si="2"/>
        <v>1</v>
      </c>
    </row>
    <row r="20" spans="1:16" x14ac:dyDescent="0.2">
      <c r="A20" t="s">
        <v>169</v>
      </c>
      <c r="B20" t="s">
        <v>147</v>
      </c>
      <c r="C20" t="s">
        <v>194</v>
      </c>
      <c r="D20" t="s">
        <v>86</v>
      </c>
      <c r="E20">
        <v>0</v>
      </c>
      <c r="F20">
        <v>0</v>
      </c>
      <c r="G20">
        <f t="shared" si="0"/>
        <v>20</v>
      </c>
      <c r="I20">
        <v>1</v>
      </c>
      <c r="J20">
        <v>0</v>
      </c>
      <c r="K20">
        <v>1</v>
      </c>
      <c r="L20">
        <v>0</v>
      </c>
      <c r="N20">
        <v>57</v>
      </c>
      <c r="O20">
        <f t="shared" ca="1" si="1"/>
        <v>1</v>
      </c>
      <c r="P20">
        <f t="shared" ca="1" si="2"/>
        <v>1</v>
      </c>
    </row>
    <row r="21" spans="1:16" x14ac:dyDescent="0.2">
      <c r="A21" t="s">
        <v>143</v>
      </c>
      <c r="B21" t="s">
        <v>147</v>
      </c>
      <c r="C21" t="s">
        <v>168</v>
      </c>
      <c r="D21" t="s">
        <v>86</v>
      </c>
      <c r="E21">
        <v>0</v>
      </c>
      <c r="F21">
        <v>1</v>
      </c>
      <c r="G21">
        <f t="shared" si="0"/>
        <v>0</v>
      </c>
      <c r="I21">
        <v>1</v>
      </c>
      <c r="J21">
        <v>0</v>
      </c>
      <c r="K21">
        <v>0.64</v>
      </c>
      <c r="L21">
        <v>0.36</v>
      </c>
      <c r="N21">
        <v>58</v>
      </c>
      <c r="O21">
        <f t="shared" ca="1" si="1"/>
        <v>1</v>
      </c>
      <c r="P21">
        <f t="shared" ca="1" si="2"/>
        <v>1</v>
      </c>
    </row>
    <row r="22" spans="1:16" x14ac:dyDescent="0.2">
      <c r="A22" t="s">
        <v>123</v>
      </c>
      <c r="B22" t="s">
        <v>83</v>
      </c>
      <c r="C22" t="s">
        <v>194</v>
      </c>
      <c r="D22" t="s">
        <v>189</v>
      </c>
      <c r="E22">
        <v>0</v>
      </c>
      <c r="F22">
        <v>0</v>
      </c>
      <c r="G22">
        <f t="shared" si="0"/>
        <v>22</v>
      </c>
      <c r="I22">
        <v>1</v>
      </c>
      <c r="J22">
        <v>0</v>
      </c>
      <c r="K22">
        <v>1</v>
      </c>
      <c r="L22">
        <v>0</v>
      </c>
      <c r="N22">
        <v>59</v>
      </c>
      <c r="O22">
        <f t="shared" ca="1" si="1"/>
        <v>1</v>
      </c>
      <c r="P22">
        <f t="shared" ca="1" si="2"/>
        <v>1</v>
      </c>
    </row>
    <row r="23" spans="1:16" x14ac:dyDescent="0.2">
      <c r="A23" t="s">
        <v>143</v>
      </c>
      <c r="B23" t="s">
        <v>187</v>
      </c>
      <c r="C23" t="s">
        <v>168</v>
      </c>
      <c r="D23" t="s">
        <v>138</v>
      </c>
      <c r="E23">
        <v>0</v>
      </c>
      <c r="F23">
        <v>1</v>
      </c>
      <c r="G23">
        <f t="shared" si="0"/>
        <v>0</v>
      </c>
      <c r="I23">
        <v>1</v>
      </c>
      <c r="J23">
        <v>0</v>
      </c>
      <c r="K23">
        <v>0.91</v>
      </c>
      <c r="L23">
        <v>0.09</v>
      </c>
      <c r="N23">
        <v>60</v>
      </c>
      <c r="O23">
        <f t="shared" ca="1" si="1"/>
        <v>1</v>
      </c>
      <c r="P23">
        <f t="shared" ca="1" si="2"/>
        <v>1</v>
      </c>
    </row>
    <row r="24" spans="1:16" x14ac:dyDescent="0.2">
      <c r="A24" t="s">
        <v>184</v>
      </c>
      <c r="B24" t="s">
        <v>256</v>
      </c>
      <c r="C24" t="s">
        <v>252</v>
      </c>
      <c r="D24" t="s">
        <v>189</v>
      </c>
      <c r="E24">
        <v>0</v>
      </c>
      <c r="F24">
        <v>0</v>
      </c>
      <c r="G24">
        <f t="shared" si="0"/>
        <v>24</v>
      </c>
      <c r="I24">
        <v>1</v>
      </c>
      <c r="J24">
        <v>0</v>
      </c>
      <c r="K24">
        <v>1</v>
      </c>
      <c r="L24">
        <v>0</v>
      </c>
      <c r="N24">
        <v>65</v>
      </c>
      <c r="O24">
        <f t="shared" ca="1" si="1"/>
        <v>1</v>
      </c>
      <c r="P24">
        <f t="shared" ca="1" si="2"/>
        <v>1</v>
      </c>
    </row>
    <row r="25" spans="1:16" x14ac:dyDescent="0.2">
      <c r="A25" t="s">
        <v>143</v>
      </c>
      <c r="B25" t="s">
        <v>127</v>
      </c>
      <c r="C25" t="s">
        <v>194</v>
      </c>
      <c r="D25" t="s">
        <v>176</v>
      </c>
      <c r="E25">
        <v>0</v>
      </c>
      <c r="F25">
        <v>0</v>
      </c>
      <c r="G25">
        <f t="shared" si="0"/>
        <v>25</v>
      </c>
      <c r="I25">
        <v>1</v>
      </c>
      <c r="J25">
        <v>0</v>
      </c>
      <c r="K25">
        <v>0.95</v>
      </c>
      <c r="L25">
        <v>0.05</v>
      </c>
      <c r="N25">
        <v>68</v>
      </c>
      <c r="O25">
        <f t="shared" ca="1" si="1"/>
        <v>1</v>
      </c>
      <c r="P25">
        <f t="shared" ca="1" si="2"/>
        <v>1</v>
      </c>
    </row>
    <row r="26" spans="1:16" x14ac:dyDescent="0.2">
      <c r="A26" t="s">
        <v>158</v>
      </c>
      <c r="B26" t="s">
        <v>83</v>
      </c>
      <c r="C26" t="s">
        <v>165</v>
      </c>
      <c r="D26" t="s">
        <v>189</v>
      </c>
      <c r="E26">
        <v>0</v>
      </c>
      <c r="F26">
        <v>1</v>
      </c>
      <c r="G26">
        <f t="shared" si="0"/>
        <v>0</v>
      </c>
      <c r="I26">
        <v>1</v>
      </c>
      <c r="J26">
        <v>0</v>
      </c>
      <c r="K26">
        <v>1</v>
      </c>
      <c r="L26">
        <v>0</v>
      </c>
      <c r="N26">
        <v>71</v>
      </c>
      <c r="O26">
        <f t="shared" ca="1" si="1"/>
        <v>1</v>
      </c>
      <c r="P26">
        <f t="shared" ca="1" si="2"/>
        <v>1</v>
      </c>
    </row>
    <row r="27" spans="1:16" x14ac:dyDescent="0.2">
      <c r="A27" t="s">
        <v>115</v>
      </c>
      <c r="B27" t="s">
        <v>129</v>
      </c>
      <c r="C27" t="s">
        <v>152</v>
      </c>
      <c r="D27" t="s">
        <v>189</v>
      </c>
      <c r="E27">
        <v>0</v>
      </c>
      <c r="F27">
        <v>1</v>
      </c>
      <c r="G27">
        <f t="shared" si="0"/>
        <v>0</v>
      </c>
      <c r="I27">
        <v>1</v>
      </c>
      <c r="J27">
        <v>0</v>
      </c>
      <c r="K27">
        <v>0.91</v>
      </c>
      <c r="L27">
        <v>0.09</v>
      </c>
      <c r="N27">
        <v>77</v>
      </c>
      <c r="O27">
        <f t="shared" ca="1" si="1"/>
        <v>1</v>
      </c>
      <c r="P27">
        <f t="shared" ca="1" si="2"/>
        <v>1</v>
      </c>
    </row>
    <row r="28" spans="1:16" x14ac:dyDescent="0.2">
      <c r="A28" t="s">
        <v>115</v>
      </c>
      <c r="B28" t="s">
        <v>83</v>
      </c>
      <c r="C28" t="s">
        <v>152</v>
      </c>
      <c r="D28" t="s">
        <v>138</v>
      </c>
      <c r="E28">
        <v>0</v>
      </c>
      <c r="F28">
        <v>1</v>
      </c>
      <c r="G28">
        <f t="shared" si="0"/>
        <v>0</v>
      </c>
      <c r="I28">
        <v>2</v>
      </c>
      <c r="J28">
        <v>0</v>
      </c>
      <c r="K28">
        <v>0.26</v>
      </c>
      <c r="L28">
        <v>0.74</v>
      </c>
      <c r="N28">
        <v>79</v>
      </c>
      <c r="O28">
        <f t="shared" ca="1" si="1"/>
        <v>1</v>
      </c>
      <c r="P28">
        <f t="shared" ca="1" si="2"/>
        <v>0</v>
      </c>
    </row>
    <row r="29" spans="1:16" x14ac:dyDescent="0.2">
      <c r="A29" t="s">
        <v>105</v>
      </c>
      <c r="B29" t="s">
        <v>218</v>
      </c>
      <c r="C29" t="s">
        <v>168</v>
      </c>
      <c r="D29" t="s">
        <v>189</v>
      </c>
      <c r="E29">
        <v>0</v>
      </c>
      <c r="F29">
        <v>1</v>
      </c>
      <c r="G29">
        <f t="shared" si="0"/>
        <v>0</v>
      </c>
      <c r="I29">
        <v>1</v>
      </c>
      <c r="J29">
        <v>0</v>
      </c>
      <c r="K29">
        <v>0.97</v>
      </c>
      <c r="L29">
        <v>0.03</v>
      </c>
      <c r="N29">
        <v>86</v>
      </c>
      <c r="O29">
        <f t="shared" ca="1" si="1"/>
        <v>1</v>
      </c>
      <c r="P29">
        <f t="shared" ca="1" si="2"/>
        <v>1</v>
      </c>
    </row>
    <row r="30" spans="1:16" x14ac:dyDescent="0.2">
      <c r="A30" t="s">
        <v>105</v>
      </c>
      <c r="B30" t="s">
        <v>83</v>
      </c>
      <c r="C30" t="s">
        <v>243</v>
      </c>
      <c r="D30" t="s">
        <v>189</v>
      </c>
      <c r="E30">
        <v>0</v>
      </c>
      <c r="F30">
        <v>0</v>
      </c>
      <c r="G30">
        <f t="shared" si="0"/>
        <v>30</v>
      </c>
      <c r="I30">
        <v>1</v>
      </c>
      <c r="J30">
        <v>0</v>
      </c>
      <c r="K30">
        <v>0.71</v>
      </c>
      <c r="L30">
        <v>0.28999999999999998</v>
      </c>
      <c r="N30">
        <v>87</v>
      </c>
      <c r="O30">
        <f t="shared" ca="1" si="1"/>
        <v>1</v>
      </c>
      <c r="P30">
        <f t="shared" ca="1" si="2"/>
        <v>1</v>
      </c>
    </row>
    <row r="31" spans="1:16" x14ac:dyDescent="0.2">
      <c r="A31" t="s">
        <v>167</v>
      </c>
      <c r="B31" t="s">
        <v>156</v>
      </c>
      <c r="C31" t="s">
        <v>152</v>
      </c>
      <c r="D31" t="s">
        <v>189</v>
      </c>
      <c r="E31">
        <v>0</v>
      </c>
      <c r="F31">
        <v>1</v>
      </c>
      <c r="G31">
        <f t="shared" si="0"/>
        <v>0</v>
      </c>
      <c r="I31">
        <v>1</v>
      </c>
      <c r="J31">
        <v>0</v>
      </c>
      <c r="K31">
        <v>1</v>
      </c>
      <c r="L31">
        <v>0</v>
      </c>
      <c r="N31">
        <v>95</v>
      </c>
      <c r="O31">
        <f t="shared" ca="1" si="1"/>
        <v>1</v>
      </c>
      <c r="P31">
        <f t="shared" ca="1" si="2"/>
        <v>1</v>
      </c>
    </row>
    <row r="32" spans="1:16" x14ac:dyDescent="0.2">
      <c r="A32" t="s">
        <v>158</v>
      </c>
      <c r="B32" t="s">
        <v>121</v>
      </c>
      <c r="C32" t="s">
        <v>152</v>
      </c>
      <c r="D32" t="s">
        <v>189</v>
      </c>
      <c r="E32">
        <v>0</v>
      </c>
      <c r="F32">
        <v>1</v>
      </c>
      <c r="G32">
        <f t="shared" si="0"/>
        <v>0</v>
      </c>
      <c r="I32">
        <v>1</v>
      </c>
      <c r="J32">
        <v>0</v>
      </c>
      <c r="K32">
        <v>0.96</v>
      </c>
      <c r="L32">
        <v>0.04</v>
      </c>
      <c r="N32">
        <v>99</v>
      </c>
      <c r="O32">
        <f t="shared" ca="1" si="1"/>
        <v>1</v>
      </c>
      <c r="P32">
        <f t="shared" ca="1" si="2"/>
        <v>1</v>
      </c>
    </row>
    <row r="33" spans="1:16" x14ac:dyDescent="0.2">
      <c r="A33" t="s">
        <v>123</v>
      </c>
      <c r="B33" t="s">
        <v>83</v>
      </c>
      <c r="C33" t="s">
        <v>168</v>
      </c>
      <c r="D33" t="s">
        <v>138</v>
      </c>
      <c r="E33">
        <v>0</v>
      </c>
      <c r="F33">
        <v>1</v>
      </c>
      <c r="G33">
        <f t="shared" si="0"/>
        <v>0</v>
      </c>
      <c r="I33">
        <v>2</v>
      </c>
      <c r="J33">
        <v>0</v>
      </c>
      <c r="K33">
        <v>0</v>
      </c>
      <c r="L33">
        <v>1</v>
      </c>
      <c r="N33">
        <v>106</v>
      </c>
      <c r="O33">
        <f t="shared" ca="1" si="1"/>
        <v>2</v>
      </c>
      <c r="P33">
        <f t="shared" ca="1" si="2"/>
        <v>1</v>
      </c>
    </row>
    <row r="34" spans="1:16" x14ac:dyDescent="0.2">
      <c r="A34" t="s">
        <v>105</v>
      </c>
      <c r="B34" t="s">
        <v>283</v>
      </c>
      <c r="C34" t="s">
        <v>168</v>
      </c>
      <c r="D34" t="s">
        <v>306</v>
      </c>
      <c r="E34">
        <v>0</v>
      </c>
      <c r="F34">
        <v>1</v>
      </c>
      <c r="G34">
        <f t="shared" si="0"/>
        <v>0</v>
      </c>
      <c r="I34">
        <v>1</v>
      </c>
      <c r="J34">
        <v>0</v>
      </c>
      <c r="K34">
        <v>0.77</v>
      </c>
      <c r="L34">
        <v>0.23</v>
      </c>
      <c r="N34">
        <v>108</v>
      </c>
      <c r="O34">
        <f t="shared" ca="1" si="1"/>
        <v>2</v>
      </c>
      <c r="P34">
        <f t="shared" ca="1" si="2"/>
        <v>0</v>
      </c>
    </row>
    <row r="35" spans="1:16" x14ac:dyDescent="0.2">
      <c r="A35" t="s">
        <v>299</v>
      </c>
      <c r="B35" t="s">
        <v>180</v>
      </c>
      <c r="C35" t="s">
        <v>243</v>
      </c>
      <c r="D35" t="s">
        <v>189</v>
      </c>
      <c r="E35">
        <v>0</v>
      </c>
      <c r="F35">
        <v>1</v>
      </c>
      <c r="G35">
        <f t="shared" si="0"/>
        <v>0</v>
      </c>
      <c r="I35">
        <v>2</v>
      </c>
      <c r="J35">
        <v>0</v>
      </c>
      <c r="K35">
        <v>0</v>
      </c>
      <c r="L35">
        <v>1</v>
      </c>
      <c r="N35">
        <v>109</v>
      </c>
      <c r="O35">
        <f t="shared" ca="1" si="1"/>
        <v>2</v>
      </c>
      <c r="P35">
        <f t="shared" ca="1" si="2"/>
        <v>1</v>
      </c>
    </row>
    <row r="36" spans="1:16" x14ac:dyDescent="0.2">
      <c r="A36" t="s">
        <v>200</v>
      </c>
      <c r="B36" t="s">
        <v>121</v>
      </c>
      <c r="C36" t="s">
        <v>168</v>
      </c>
      <c r="D36" t="s">
        <v>189</v>
      </c>
      <c r="E36">
        <v>0</v>
      </c>
      <c r="F36">
        <v>1</v>
      </c>
      <c r="G36">
        <f t="shared" si="0"/>
        <v>0</v>
      </c>
      <c r="I36">
        <v>2</v>
      </c>
      <c r="J36">
        <v>0</v>
      </c>
      <c r="K36">
        <v>0.2</v>
      </c>
      <c r="L36">
        <v>0.8</v>
      </c>
      <c r="N36">
        <v>110</v>
      </c>
      <c r="O36">
        <f t="shared" ca="1" si="1"/>
        <v>2</v>
      </c>
      <c r="P36">
        <f t="shared" ca="1" si="2"/>
        <v>1</v>
      </c>
    </row>
    <row r="37" spans="1:16" x14ac:dyDescent="0.2">
      <c r="A37" t="s">
        <v>115</v>
      </c>
      <c r="B37" t="s">
        <v>156</v>
      </c>
      <c r="C37" t="s">
        <v>128</v>
      </c>
      <c r="D37" t="s">
        <v>189</v>
      </c>
      <c r="E37">
        <v>0</v>
      </c>
      <c r="F37">
        <v>0</v>
      </c>
      <c r="G37">
        <f t="shared" si="0"/>
        <v>37</v>
      </c>
      <c r="I37">
        <v>2</v>
      </c>
      <c r="J37">
        <v>0</v>
      </c>
      <c r="K37">
        <v>0.09</v>
      </c>
      <c r="L37">
        <v>0.91</v>
      </c>
      <c r="N37">
        <v>113</v>
      </c>
      <c r="O37">
        <f t="shared" ca="1" si="1"/>
        <v>2</v>
      </c>
      <c r="P37">
        <f t="shared" ca="1" si="2"/>
        <v>1</v>
      </c>
    </row>
    <row r="38" spans="1:16" x14ac:dyDescent="0.2">
      <c r="A38" t="s">
        <v>299</v>
      </c>
      <c r="B38" t="s">
        <v>218</v>
      </c>
      <c r="C38" t="s">
        <v>225</v>
      </c>
      <c r="D38" t="s">
        <v>189</v>
      </c>
      <c r="E38">
        <v>0</v>
      </c>
      <c r="F38">
        <v>1</v>
      </c>
      <c r="G38">
        <f t="shared" si="0"/>
        <v>0</v>
      </c>
      <c r="I38">
        <v>2</v>
      </c>
      <c r="J38">
        <v>0</v>
      </c>
      <c r="K38">
        <v>0.17</v>
      </c>
      <c r="L38">
        <v>0.83</v>
      </c>
      <c r="N38">
        <v>118</v>
      </c>
      <c r="O38">
        <f t="shared" ca="1" si="1"/>
        <v>2</v>
      </c>
      <c r="P38">
        <f t="shared" ca="1" si="2"/>
        <v>1</v>
      </c>
    </row>
    <row r="39" spans="1:16" x14ac:dyDescent="0.2">
      <c r="A39" t="s">
        <v>200</v>
      </c>
      <c r="B39" t="s">
        <v>256</v>
      </c>
      <c r="C39" t="s">
        <v>243</v>
      </c>
      <c r="D39" t="s">
        <v>306</v>
      </c>
      <c r="E39">
        <v>0</v>
      </c>
      <c r="F39">
        <v>1</v>
      </c>
      <c r="G39">
        <f t="shared" si="0"/>
        <v>0</v>
      </c>
      <c r="I39">
        <v>2</v>
      </c>
      <c r="J39">
        <v>0</v>
      </c>
      <c r="K39">
        <v>0.33</v>
      </c>
      <c r="L39">
        <v>0.67</v>
      </c>
      <c r="N39">
        <v>129</v>
      </c>
      <c r="O39">
        <f t="shared" ca="1" si="1"/>
        <v>2</v>
      </c>
      <c r="P39">
        <f t="shared" ca="1" si="2"/>
        <v>1</v>
      </c>
    </row>
    <row r="40" spans="1:16" x14ac:dyDescent="0.2">
      <c r="A40" t="s">
        <v>289</v>
      </c>
      <c r="B40" t="s">
        <v>129</v>
      </c>
      <c r="C40" t="s">
        <v>225</v>
      </c>
      <c r="D40" t="s">
        <v>189</v>
      </c>
      <c r="E40">
        <v>0</v>
      </c>
      <c r="F40">
        <v>0</v>
      </c>
      <c r="G40">
        <f t="shared" si="0"/>
        <v>40</v>
      </c>
      <c r="I40">
        <v>2</v>
      </c>
      <c r="J40">
        <v>0</v>
      </c>
      <c r="K40">
        <v>0.06</v>
      </c>
      <c r="L40">
        <v>0.94</v>
      </c>
      <c r="N40">
        <v>134</v>
      </c>
      <c r="O40">
        <f t="shared" ca="1" si="1"/>
        <v>2</v>
      </c>
      <c r="P40">
        <f t="shared" ca="1" si="2"/>
        <v>1</v>
      </c>
    </row>
    <row r="41" spans="1:16" x14ac:dyDescent="0.2">
      <c r="A41" t="s">
        <v>143</v>
      </c>
      <c r="B41" t="s">
        <v>83</v>
      </c>
      <c r="C41" t="s">
        <v>168</v>
      </c>
      <c r="D41" t="s">
        <v>189</v>
      </c>
      <c r="E41">
        <v>0</v>
      </c>
      <c r="F41">
        <v>1</v>
      </c>
      <c r="G41">
        <f t="shared" si="0"/>
        <v>0</v>
      </c>
      <c r="I41">
        <v>1</v>
      </c>
      <c r="J41">
        <v>0</v>
      </c>
      <c r="K41">
        <v>0.51</v>
      </c>
      <c r="L41">
        <v>0.49</v>
      </c>
      <c r="N41">
        <v>135</v>
      </c>
      <c r="O41">
        <f t="shared" ca="1" si="1"/>
        <v>2</v>
      </c>
      <c r="P41">
        <f t="shared" ca="1" si="2"/>
        <v>0</v>
      </c>
    </row>
    <row r="42" spans="1:16" x14ac:dyDescent="0.2">
      <c r="A42" t="s">
        <v>115</v>
      </c>
      <c r="B42" t="s">
        <v>218</v>
      </c>
      <c r="C42" t="s">
        <v>225</v>
      </c>
      <c r="D42" t="s">
        <v>86</v>
      </c>
      <c r="E42">
        <v>0</v>
      </c>
      <c r="F42">
        <v>0</v>
      </c>
      <c r="G42">
        <f t="shared" si="0"/>
        <v>42</v>
      </c>
      <c r="I42">
        <v>2</v>
      </c>
      <c r="J42">
        <v>0</v>
      </c>
      <c r="K42">
        <v>0.74</v>
      </c>
      <c r="L42">
        <v>0.26</v>
      </c>
      <c r="N42">
        <v>136</v>
      </c>
      <c r="O42">
        <f t="shared" ca="1" si="1"/>
        <v>2</v>
      </c>
      <c r="P42">
        <f t="shared" ca="1" si="2"/>
        <v>1</v>
      </c>
    </row>
    <row r="43" spans="1:16" x14ac:dyDescent="0.2">
      <c r="A43" t="s">
        <v>148</v>
      </c>
      <c r="B43" t="s">
        <v>109</v>
      </c>
      <c r="C43" t="s">
        <v>225</v>
      </c>
      <c r="D43" t="s">
        <v>86</v>
      </c>
      <c r="E43">
        <v>0</v>
      </c>
      <c r="F43">
        <v>1</v>
      </c>
      <c r="G43">
        <f t="shared" si="0"/>
        <v>0</v>
      </c>
      <c r="I43">
        <v>1</v>
      </c>
      <c r="J43">
        <v>0</v>
      </c>
      <c r="K43">
        <v>0.43</v>
      </c>
      <c r="L43">
        <v>0.56999999999999995</v>
      </c>
      <c r="N43">
        <v>140</v>
      </c>
      <c r="O43">
        <f t="shared" ca="1" si="1"/>
        <v>2</v>
      </c>
      <c r="P43">
        <f t="shared" ca="1" si="2"/>
        <v>0</v>
      </c>
    </row>
    <row r="44" spans="1:16" x14ac:dyDescent="0.2">
      <c r="A44" t="s">
        <v>289</v>
      </c>
      <c r="B44" t="s">
        <v>156</v>
      </c>
      <c r="C44" t="s">
        <v>225</v>
      </c>
      <c r="D44" t="s">
        <v>189</v>
      </c>
      <c r="E44">
        <v>0</v>
      </c>
      <c r="F44">
        <v>0</v>
      </c>
      <c r="G44">
        <f t="shared" si="0"/>
        <v>44</v>
      </c>
      <c r="I44">
        <v>2</v>
      </c>
      <c r="J44">
        <v>0</v>
      </c>
      <c r="K44">
        <v>0</v>
      </c>
      <c r="L44">
        <v>1</v>
      </c>
      <c r="N44">
        <v>142</v>
      </c>
      <c r="O44">
        <f t="shared" ca="1" si="1"/>
        <v>2</v>
      </c>
      <c r="P44">
        <f t="shared" ca="1" si="2"/>
        <v>1</v>
      </c>
    </row>
    <row r="45" spans="1:16" x14ac:dyDescent="0.2">
      <c r="A45" t="s">
        <v>115</v>
      </c>
      <c r="B45" t="s">
        <v>218</v>
      </c>
      <c r="C45" t="s">
        <v>152</v>
      </c>
      <c r="D45" t="s">
        <v>270</v>
      </c>
      <c r="E45">
        <v>0</v>
      </c>
      <c r="F45">
        <v>0</v>
      </c>
      <c r="G45">
        <f t="shared" si="0"/>
        <v>45</v>
      </c>
      <c r="I45">
        <v>2</v>
      </c>
      <c r="J45">
        <v>0</v>
      </c>
      <c r="K45">
        <v>0</v>
      </c>
      <c r="L45">
        <v>1</v>
      </c>
      <c r="N45">
        <v>143</v>
      </c>
      <c r="O45">
        <f t="shared" ca="1" si="1"/>
        <v>2</v>
      </c>
      <c r="P45">
        <f t="shared" ca="1" si="2"/>
        <v>1</v>
      </c>
    </row>
    <row r="46" spans="1:16" x14ac:dyDescent="0.2">
      <c r="A46" t="s">
        <v>143</v>
      </c>
      <c r="B46" t="s">
        <v>147</v>
      </c>
      <c r="C46" t="s">
        <v>165</v>
      </c>
      <c r="D46" t="s">
        <v>138</v>
      </c>
      <c r="E46">
        <v>0</v>
      </c>
      <c r="F46">
        <v>1</v>
      </c>
      <c r="G46">
        <f t="shared" si="0"/>
        <v>0</v>
      </c>
      <c r="I46">
        <v>2</v>
      </c>
      <c r="J46">
        <v>0</v>
      </c>
      <c r="K46">
        <v>0.05</v>
      </c>
      <c r="L46">
        <v>0.95</v>
      </c>
      <c r="N46">
        <v>149</v>
      </c>
      <c r="O46">
        <f t="shared" ca="1" si="1"/>
        <v>2</v>
      </c>
      <c r="P46">
        <f t="shared" ca="1" si="2"/>
        <v>1</v>
      </c>
    </row>
    <row r="47" spans="1:16" x14ac:dyDescent="0.2">
      <c r="A47" t="s">
        <v>158</v>
      </c>
      <c r="B47" t="s">
        <v>129</v>
      </c>
      <c r="C47" t="s">
        <v>243</v>
      </c>
      <c r="D47" t="s">
        <v>86</v>
      </c>
      <c r="E47">
        <v>0</v>
      </c>
      <c r="F47">
        <v>1</v>
      </c>
      <c r="G47">
        <f t="shared" si="0"/>
        <v>0</v>
      </c>
      <c r="I47">
        <v>2</v>
      </c>
      <c r="J47">
        <v>0</v>
      </c>
      <c r="K47">
        <v>0</v>
      </c>
      <c r="L47">
        <v>1</v>
      </c>
      <c r="N47">
        <v>150</v>
      </c>
      <c r="O47">
        <f t="shared" ca="1" si="1"/>
        <v>2</v>
      </c>
      <c r="P47">
        <f t="shared" ca="1" si="2"/>
        <v>1</v>
      </c>
    </row>
    <row r="48" spans="1:16" x14ac:dyDescent="0.2">
      <c r="A48" t="s">
        <v>143</v>
      </c>
      <c r="B48" t="s">
        <v>147</v>
      </c>
      <c r="C48" t="s">
        <v>152</v>
      </c>
      <c r="D48" t="s">
        <v>189</v>
      </c>
      <c r="E48">
        <v>0</v>
      </c>
      <c r="F48">
        <v>1</v>
      </c>
      <c r="G48">
        <f t="shared" si="0"/>
        <v>0</v>
      </c>
    </row>
    <row r="49" spans="1:7" x14ac:dyDescent="0.2">
      <c r="A49" t="s">
        <v>184</v>
      </c>
      <c r="B49" t="s">
        <v>156</v>
      </c>
      <c r="C49" t="s">
        <v>243</v>
      </c>
      <c r="D49" t="s">
        <v>189</v>
      </c>
      <c r="E49">
        <v>0</v>
      </c>
      <c r="F49">
        <v>1</v>
      </c>
      <c r="G49">
        <f t="shared" si="0"/>
        <v>0</v>
      </c>
    </row>
    <row r="50" spans="1:7" x14ac:dyDescent="0.2">
      <c r="A50" t="s">
        <v>222</v>
      </c>
      <c r="B50" t="s">
        <v>187</v>
      </c>
      <c r="C50" t="s">
        <v>168</v>
      </c>
      <c r="D50" t="s">
        <v>189</v>
      </c>
      <c r="E50">
        <v>0</v>
      </c>
      <c r="F50">
        <v>1</v>
      </c>
      <c r="G50">
        <f t="shared" si="0"/>
        <v>0</v>
      </c>
    </row>
    <row r="51" spans="1:7" x14ac:dyDescent="0.2">
      <c r="A51" t="s">
        <v>115</v>
      </c>
      <c r="B51" t="s">
        <v>127</v>
      </c>
      <c r="C51" t="s">
        <v>243</v>
      </c>
      <c r="D51" t="s">
        <v>189</v>
      </c>
      <c r="E51">
        <v>0</v>
      </c>
      <c r="F51">
        <v>0</v>
      </c>
      <c r="G51">
        <f t="shared" si="0"/>
        <v>51</v>
      </c>
    </row>
    <row r="52" spans="1:7" x14ac:dyDescent="0.2">
      <c r="A52" t="s">
        <v>307</v>
      </c>
      <c r="B52" t="s">
        <v>156</v>
      </c>
      <c r="C52" t="s">
        <v>167</v>
      </c>
      <c r="D52" t="s">
        <v>243</v>
      </c>
      <c r="E52">
        <v>1</v>
      </c>
      <c r="F52">
        <v>1</v>
      </c>
      <c r="G52">
        <f t="shared" si="0"/>
        <v>0</v>
      </c>
    </row>
    <row r="53" spans="1:7" x14ac:dyDescent="0.2">
      <c r="A53" t="s">
        <v>308</v>
      </c>
      <c r="B53" t="s">
        <v>156</v>
      </c>
      <c r="C53" t="s">
        <v>148</v>
      </c>
      <c r="D53" t="s">
        <v>168</v>
      </c>
      <c r="E53">
        <v>1</v>
      </c>
      <c r="F53">
        <v>0</v>
      </c>
      <c r="G53">
        <f t="shared" si="0"/>
        <v>53</v>
      </c>
    </row>
    <row r="54" spans="1:7" x14ac:dyDescent="0.2">
      <c r="A54" t="s">
        <v>172</v>
      </c>
      <c r="B54" t="s">
        <v>121</v>
      </c>
      <c r="C54" t="s">
        <v>200</v>
      </c>
      <c r="D54" t="s">
        <v>168</v>
      </c>
      <c r="E54">
        <v>1</v>
      </c>
      <c r="F54">
        <v>1</v>
      </c>
      <c r="G54">
        <f t="shared" si="0"/>
        <v>0</v>
      </c>
    </row>
    <row r="55" spans="1:7" x14ac:dyDescent="0.2">
      <c r="A55" t="s">
        <v>299</v>
      </c>
      <c r="B55" t="s">
        <v>109</v>
      </c>
      <c r="C55" t="s">
        <v>151</v>
      </c>
      <c r="D55" t="s">
        <v>225</v>
      </c>
      <c r="E55">
        <v>1</v>
      </c>
      <c r="F55">
        <v>0</v>
      </c>
      <c r="G55">
        <f t="shared" si="0"/>
        <v>55</v>
      </c>
    </row>
    <row r="56" spans="1:7" x14ac:dyDescent="0.2">
      <c r="A56" t="s">
        <v>309</v>
      </c>
      <c r="B56" t="s">
        <v>78</v>
      </c>
      <c r="C56" t="s">
        <v>184</v>
      </c>
      <c r="D56" t="s">
        <v>168</v>
      </c>
      <c r="E56">
        <v>1</v>
      </c>
      <c r="F56">
        <v>1</v>
      </c>
      <c r="G56">
        <f t="shared" si="0"/>
        <v>0</v>
      </c>
    </row>
    <row r="57" spans="1:7" x14ac:dyDescent="0.2">
      <c r="A57" t="s">
        <v>169</v>
      </c>
      <c r="B57" t="s">
        <v>78</v>
      </c>
      <c r="C57" t="s">
        <v>148</v>
      </c>
      <c r="D57" t="s">
        <v>225</v>
      </c>
      <c r="E57">
        <v>1</v>
      </c>
      <c r="F57">
        <v>0</v>
      </c>
      <c r="G57">
        <f t="shared" si="0"/>
        <v>57</v>
      </c>
    </row>
    <row r="58" spans="1:7" x14ac:dyDescent="0.2">
      <c r="A58" t="s">
        <v>208</v>
      </c>
      <c r="B58" t="s">
        <v>127</v>
      </c>
      <c r="C58" t="s">
        <v>167</v>
      </c>
      <c r="D58" t="s">
        <v>152</v>
      </c>
      <c r="E58">
        <v>1</v>
      </c>
      <c r="F58">
        <v>0</v>
      </c>
      <c r="G58">
        <f t="shared" si="0"/>
        <v>58</v>
      </c>
    </row>
    <row r="59" spans="1:7" x14ac:dyDescent="0.2">
      <c r="A59" t="s">
        <v>200</v>
      </c>
      <c r="B59" t="s">
        <v>163</v>
      </c>
      <c r="C59" t="s">
        <v>127</v>
      </c>
      <c r="D59" t="s">
        <v>252</v>
      </c>
      <c r="E59">
        <v>1</v>
      </c>
      <c r="F59">
        <v>0</v>
      </c>
      <c r="G59">
        <f t="shared" si="0"/>
        <v>59</v>
      </c>
    </row>
    <row r="60" spans="1:7" x14ac:dyDescent="0.2">
      <c r="A60" t="s">
        <v>139</v>
      </c>
      <c r="B60" t="s">
        <v>119</v>
      </c>
      <c r="C60" t="s">
        <v>184</v>
      </c>
      <c r="D60" t="s">
        <v>225</v>
      </c>
      <c r="E60">
        <v>1</v>
      </c>
      <c r="F60">
        <v>0</v>
      </c>
      <c r="G60">
        <f t="shared" si="0"/>
        <v>60</v>
      </c>
    </row>
    <row r="61" spans="1:7" x14ac:dyDescent="0.2">
      <c r="A61" t="s">
        <v>105</v>
      </c>
      <c r="B61" t="s">
        <v>130</v>
      </c>
      <c r="C61" t="s">
        <v>241</v>
      </c>
      <c r="D61" t="s">
        <v>243</v>
      </c>
      <c r="E61">
        <v>1</v>
      </c>
      <c r="F61">
        <v>1</v>
      </c>
      <c r="G61">
        <f t="shared" si="0"/>
        <v>0</v>
      </c>
    </row>
    <row r="62" spans="1:7" x14ac:dyDescent="0.2">
      <c r="A62" t="s">
        <v>115</v>
      </c>
      <c r="B62" t="s">
        <v>224</v>
      </c>
      <c r="C62" t="s">
        <v>218</v>
      </c>
      <c r="D62" t="s">
        <v>252</v>
      </c>
      <c r="E62">
        <v>1</v>
      </c>
      <c r="F62">
        <v>1</v>
      </c>
      <c r="G62">
        <f t="shared" si="0"/>
        <v>0</v>
      </c>
    </row>
    <row r="63" spans="1:7" x14ac:dyDescent="0.2">
      <c r="A63" t="s">
        <v>310</v>
      </c>
      <c r="B63" t="s">
        <v>129</v>
      </c>
      <c r="C63" t="s">
        <v>180</v>
      </c>
      <c r="D63" t="s">
        <v>168</v>
      </c>
      <c r="E63">
        <v>1</v>
      </c>
      <c r="F63">
        <v>1</v>
      </c>
      <c r="G63">
        <f t="shared" si="0"/>
        <v>0</v>
      </c>
    </row>
    <row r="64" spans="1:7" x14ac:dyDescent="0.2">
      <c r="A64" t="s">
        <v>213</v>
      </c>
      <c r="B64" t="s">
        <v>114</v>
      </c>
      <c r="C64" t="s">
        <v>151</v>
      </c>
      <c r="D64" t="s">
        <v>252</v>
      </c>
      <c r="E64">
        <v>1</v>
      </c>
      <c r="F64">
        <v>1</v>
      </c>
      <c r="G64">
        <f t="shared" si="0"/>
        <v>0</v>
      </c>
    </row>
    <row r="65" spans="1:7" x14ac:dyDescent="0.2">
      <c r="A65" t="s">
        <v>202</v>
      </c>
      <c r="B65" t="s">
        <v>119</v>
      </c>
      <c r="C65" t="s">
        <v>167</v>
      </c>
      <c r="D65" t="s">
        <v>243</v>
      </c>
      <c r="E65">
        <v>1</v>
      </c>
      <c r="F65">
        <v>0</v>
      </c>
      <c r="G65">
        <f t="shared" si="0"/>
        <v>65</v>
      </c>
    </row>
    <row r="66" spans="1:7" x14ac:dyDescent="0.2">
      <c r="A66" t="s">
        <v>118</v>
      </c>
      <c r="B66" t="s">
        <v>119</v>
      </c>
      <c r="C66" t="s">
        <v>256</v>
      </c>
      <c r="D66" t="s">
        <v>225</v>
      </c>
      <c r="E66">
        <v>1</v>
      </c>
      <c r="F66">
        <v>1</v>
      </c>
      <c r="G66">
        <f t="shared" si="0"/>
        <v>0</v>
      </c>
    </row>
    <row r="67" spans="1:7" x14ac:dyDescent="0.2">
      <c r="A67" t="s">
        <v>311</v>
      </c>
      <c r="B67" t="s">
        <v>121</v>
      </c>
      <c r="C67" t="s">
        <v>289</v>
      </c>
      <c r="D67" t="s">
        <v>243</v>
      </c>
      <c r="E67">
        <v>1</v>
      </c>
      <c r="F67">
        <v>1</v>
      </c>
      <c r="G67">
        <f t="shared" ref="G67:G130" si="3">IF(F67&lt;=0,ROW(),0)</f>
        <v>0</v>
      </c>
    </row>
    <row r="68" spans="1:7" x14ac:dyDescent="0.2">
      <c r="A68" t="s">
        <v>118</v>
      </c>
      <c r="B68" t="s">
        <v>129</v>
      </c>
      <c r="C68" t="s">
        <v>148</v>
      </c>
      <c r="D68" t="s">
        <v>168</v>
      </c>
      <c r="E68">
        <v>1</v>
      </c>
      <c r="F68">
        <v>0</v>
      </c>
      <c r="G68">
        <f t="shared" si="3"/>
        <v>68</v>
      </c>
    </row>
    <row r="69" spans="1:7" x14ac:dyDescent="0.2">
      <c r="A69" t="s">
        <v>278</v>
      </c>
      <c r="B69" t="s">
        <v>130</v>
      </c>
      <c r="C69" t="s">
        <v>283</v>
      </c>
      <c r="D69" t="s">
        <v>252</v>
      </c>
      <c r="E69">
        <v>1</v>
      </c>
      <c r="F69">
        <v>1</v>
      </c>
      <c r="G69">
        <f t="shared" si="3"/>
        <v>0</v>
      </c>
    </row>
    <row r="70" spans="1:7" x14ac:dyDescent="0.2">
      <c r="A70" t="s">
        <v>135</v>
      </c>
      <c r="B70" t="s">
        <v>114</v>
      </c>
      <c r="C70" t="s">
        <v>148</v>
      </c>
      <c r="D70" t="s">
        <v>168</v>
      </c>
      <c r="E70">
        <v>1</v>
      </c>
      <c r="F70">
        <v>1</v>
      </c>
      <c r="G70">
        <f t="shared" si="3"/>
        <v>0</v>
      </c>
    </row>
    <row r="71" spans="1:7" x14ac:dyDescent="0.2">
      <c r="A71" t="s">
        <v>118</v>
      </c>
      <c r="B71" t="s">
        <v>89</v>
      </c>
      <c r="C71" t="s">
        <v>241</v>
      </c>
      <c r="D71" t="s">
        <v>181</v>
      </c>
      <c r="E71">
        <v>1</v>
      </c>
      <c r="F71">
        <v>0</v>
      </c>
      <c r="G71">
        <f t="shared" si="3"/>
        <v>71</v>
      </c>
    </row>
    <row r="72" spans="1:7" x14ac:dyDescent="0.2">
      <c r="A72" t="s">
        <v>310</v>
      </c>
      <c r="B72" t="s">
        <v>156</v>
      </c>
      <c r="C72" t="s">
        <v>158</v>
      </c>
      <c r="D72" t="s">
        <v>177</v>
      </c>
      <c r="E72">
        <v>1</v>
      </c>
      <c r="F72">
        <v>1</v>
      </c>
      <c r="G72">
        <f t="shared" si="3"/>
        <v>0</v>
      </c>
    </row>
    <row r="73" spans="1:7" x14ac:dyDescent="0.2">
      <c r="A73" t="s">
        <v>202</v>
      </c>
      <c r="B73" t="s">
        <v>78</v>
      </c>
      <c r="C73" t="s">
        <v>151</v>
      </c>
      <c r="D73" t="s">
        <v>225</v>
      </c>
      <c r="E73">
        <v>1</v>
      </c>
      <c r="F73">
        <v>1</v>
      </c>
      <c r="G73">
        <f t="shared" si="3"/>
        <v>0</v>
      </c>
    </row>
    <row r="74" spans="1:7" x14ac:dyDescent="0.2">
      <c r="A74" t="s">
        <v>208</v>
      </c>
      <c r="B74" t="s">
        <v>89</v>
      </c>
      <c r="C74" t="s">
        <v>200</v>
      </c>
      <c r="D74" t="s">
        <v>168</v>
      </c>
      <c r="E74">
        <v>1</v>
      </c>
      <c r="F74">
        <v>1</v>
      </c>
      <c r="G74">
        <f t="shared" si="3"/>
        <v>0</v>
      </c>
    </row>
    <row r="75" spans="1:7" x14ac:dyDescent="0.2">
      <c r="A75" t="s">
        <v>202</v>
      </c>
      <c r="B75" t="s">
        <v>78</v>
      </c>
      <c r="C75" t="s">
        <v>167</v>
      </c>
      <c r="D75" t="s">
        <v>128</v>
      </c>
      <c r="E75">
        <v>1</v>
      </c>
      <c r="F75">
        <v>1</v>
      </c>
      <c r="G75">
        <f t="shared" si="3"/>
        <v>0</v>
      </c>
    </row>
    <row r="76" spans="1:7" x14ac:dyDescent="0.2">
      <c r="A76" t="s">
        <v>308</v>
      </c>
      <c r="B76" t="s">
        <v>119</v>
      </c>
      <c r="C76" t="s">
        <v>281</v>
      </c>
      <c r="D76" t="s">
        <v>225</v>
      </c>
      <c r="E76">
        <v>1</v>
      </c>
      <c r="F76">
        <v>1</v>
      </c>
      <c r="G76">
        <f t="shared" si="3"/>
        <v>0</v>
      </c>
    </row>
    <row r="77" spans="1:7" x14ac:dyDescent="0.2">
      <c r="A77" t="s">
        <v>139</v>
      </c>
      <c r="B77" t="s">
        <v>129</v>
      </c>
      <c r="C77" t="s">
        <v>289</v>
      </c>
      <c r="D77" t="s">
        <v>243</v>
      </c>
      <c r="E77">
        <v>1</v>
      </c>
      <c r="F77">
        <v>0</v>
      </c>
      <c r="G77">
        <f t="shared" si="3"/>
        <v>77</v>
      </c>
    </row>
    <row r="78" spans="1:7" x14ac:dyDescent="0.2">
      <c r="A78" t="s">
        <v>215</v>
      </c>
      <c r="B78" t="s">
        <v>78</v>
      </c>
      <c r="C78" t="s">
        <v>158</v>
      </c>
      <c r="D78" t="s">
        <v>243</v>
      </c>
      <c r="E78">
        <v>1</v>
      </c>
      <c r="F78">
        <v>1</v>
      </c>
      <c r="G78">
        <f t="shared" si="3"/>
        <v>0</v>
      </c>
    </row>
    <row r="79" spans="1:7" x14ac:dyDescent="0.2">
      <c r="A79" t="s">
        <v>311</v>
      </c>
      <c r="B79" t="s">
        <v>129</v>
      </c>
      <c r="C79" t="s">
        <v>115</v>
      </c>
      <c r="D79" t="s">
        <v>194</v>
      </c>
      <c r="E79">
        <v>1</v>
      </c>
      <c r="F79">
        <v>0</v>
      </c>
      <c r="G79">
        <f t="shared" si="3"/>
        <v>79</v>
      </c>
    </row>
    <row r="80" spans="1:7" x14ac:dyDescent="0.2">
      <c r="A80" t="s">
        <v>213</v>
      </c>
      <c r="B80" t="s">
        <v>119</v>
      </c>
      <c r="C80" t="s">
        <v>148</v>
      </c>
      <c r="D80" t="s">
        <v>168</v>
      </c>
      <c r="E80">
        <v>1</v>
      </c>
      <c r="F80">
        <v>1</v>
      </c>
      <c r="G80">
        <f t="shared" si="3"/>
        <v>0</v>
      </c>
    </row>
    <row r="81" spans="1:7" x14ac:dyDescent="0.2">
      <c r="A81" t="s">
        <v>169</v>
      </c>
      <c r="B81" t="s">
        <v>102</v>
      </c>
      <c r="C81" t="s">
        <v>218</v>
      </c>
      <c r="D81" t="s">
        <v>252</v>
      </c>
      <c r="E81">
        <v>1</v>
      </c>
      <c r="F81">
        <v>1</v>
      </c>
      <c r="G81">
        <f t="shared" si="3"/>
        <v>0</v>
      </c>
    </row>
    <row r="82" spans="1:7" x14ac:dyDescent="0.2">
      <c r="A82" t="s">
        <v>299</v>
      </c>
      <c r="B82" t="s">
        <v>163</v>
      </c>
      <c r="C82" t="s">
        <v>147</v>
      </c>
      <c r="D82" t="s">
        <v>181</v>
      </c>
      <c r="E82">
        <v>1</v>
      </c>
      <c r="F82">
        <v>1</v>
      </c>
      <c r="G82">
        <f t="shared" si="3"/>
        <v>0</v>
      </c>
    </row>
    <row r="83" spans="1:7" x14ac:dyDescent="0.2">
      <c r="A83" t="s">
        <v>299</v>
      </c>
      <c r="B83" t="s">
        <v>163</v>
      </c>
      <c r="C83" t="s">
        <v>187</v>
      </c>
      <c r="D83" t="s">
        <v>252</v>
      </c>
      <c r="E83">
        <v>1</v>
      </c>
      <c r="F83">
        <v>1</v>
      </c>
      <c r="G83">
        <f t="shared" si="3"/>
        <v>0</v>
      </c>
    </row>
    <row r="84" spans="1:7" x14ac:dyDescent="0.2">
      <c r="A84" t="s">
        <v>278</v>
      </c>
      <c r="B84" t="s">
        <v>130</v>
      </c>
      <c r="C84" t="s">
        <v>241</v>
      </c>
      <c r="D84" t="s">
        <v>128</v>
      </c>
      <c r="E84">
        <v>1</v>
      </c>
      <c r="F84">
        <v>1</v>
      </c>
      <c r="G84">
        <f t="shared" si="3"/>
        <v>0</v>
      </c>
    </row>
    <row r="85" spans="1:7" x14ac:dyDescent="0.2">
      <c r="A85" t="s">
        <v>213</v>
      </c>
      <c r="B85" t="s">
        <v>130</v>
      </c>
      <c r="C85" t="s">
        <v>143</v>
      </c>
      <c r="D85" t="s">
        <v>152</v>
      </c>
      <c r="E85">
        <v>1</v>
      </c>
      <c r="F85">
        <v>1</v>
      </c>
      <c r="G85">
        <f t="shared" si="3"/>
        <v>0</v>
      </c>
    </row>
    <row r="86" spans="1:7" x14ac:dyDescent="0.2">
      <c r="A86" t="s">
        <v>123</v>
      </c>
      <c r="B86" t="s">
        <v>129</v>
      </c>
      <c r="C86" t="s">
        <v>148</v>
      </c>
      <c r="D86" t="s">
        <v>168</v>
      </c>
      <c r="E86">
        <v>1</v>
      </c>
      <c r="F86">
        <v>0</v>
      </c>
      <c r="G86">
        <f t="shared" si="3"/>
        <v>86</v>
      </c>
    </row>
    <row r="87" spans="1:7" x14ac:dyDescent="0.2">
      <c r="A87" t="s">
        <v>213</v>
      </c>
      <c r="B87" t="s">
        <v>83</v>
      </c>
      <c r="C87" t="s">
        <v>148</v>
      </c>
      <c r="D87" t="s">
        <v>152</v>
      </c>
      <c r="E87">
        <v>1</v>
      </c>
      <c r="F87">
        <v>0</v>
      </c>
      <c r="G87">
        <f t="shared" si="3"/>
        <v>87</v>
      </c>
    </row>
    <row r="88" spans="1:7" x14ac:dyDescent="0.2">
      <c r="A88" t="s">
        <v>311</v>
      </c>
      <c r="B88" t="s">
        <v>121</v>
      </c>
      <c r="C88" t="s">
        <v>167</v>
      </c>
      <c r="D88" t="s">
        <v>168</v>
      </c>
      <c r="E88">
        <v>1</v>
      </c>
      <c r="F88">
        <v>1</v>
      </c>
      <c r="G88">
        <f t="shared" si="3"/>
        <v>0</v>
      </c>
    </row>
    <row r="89" spans="1:7" x14ac:dyDescent="0.2">
      <c r="A89" t="s">
        <v>208</v>
      </c>
      <c r="B89" t="s">
        <v>109</v>
      </c>
      <c r="C89" t="s">
        <v>289</v>
      </c>
      <c r="D89" t="s">
        <v>225</v>
      </c>
      <c r="E89">
        <v>1</v>
      </c>
      <c r="F89">
        <v>1</v>
      </c>
      <c r="G89">
        <f t="shared" si="3"/>
        <v>0</v>
      </c>
    </row>
    <row r="90" spans="1:7" x14ac:dyDescent="0.2">
      <c r="A90" t="s">
        <v>118</v>
      </c>
      <c r="B90" t="s">
        <v>129</v>
      </c>
      <c r="C90" t="s">
        <v>283</v>
      </c>
      <c r="D90" t="s">
        <v>225</v>
      </c>
      <c r="E90">
        <v>1</v>
      </c>
      <c r="F90">
        <v>1</v>
      </c>
      <c r="G90">
        <f t="shared" si="3"/>
        <v>0</v>
      </c>
    </row>
    <row r="91" spans="1:7" x14ac:dyDescent="0.2">
      <c r="A91" t="s">
        <v>299</v>
      </c>
      <c r="B91" t="s">
        <v>89</v>
      </c>
      <c r="C91" t="s">
        <v>151</v>
      </c>
      <c r="D91" t="s">
        <v>225</v>
      </c>
      <c r="E91">
        <v>1</v>
      </c>
      <c r="F91">
        <v>1</v>
      </c>
      <c r="G91">
        <f t="shared" si="3"/>
        <v>0</v>
      </c>
    </row>
    <row r="92" spans="1:7" x14ac:dyDescent="0.2">
      <c r="A92" t="s">
        <v>299</v>
      </c>
      <c r="B92" t="s">
        <v>102</v>
      </c>
      <c r="C92" t="s">
        <v>289</v>
      </c>
      <c r="D92" t="s">
        <v>128</v>
      </c>
      <c r="E92">
        <v>1</v>
      </c>
      <c r="F92">
        <v>1</v>
      </c>
      <c r="G92">
        <f t="shared" si="3"/>
        <v>0</v>
      </c>
    </row>
    <row r="93" spans="1:7" x14ac:dyDescent="0.2">
      <c r="A93" t="s">
        <v>202</v>
      </c>
      <c r="B93" t="s">
        <v>129</v>
      </c>
      <c r="C93" t="s">
        <v>184</v>
      </c>
      <c r="D93" t="s">
        <v>243</v>
      </c>
      <c r="E93">
        <v>1</v>
      </c>
      <c r="F93">
        <v>1</v>
      </c>
      <c r="G93">
        <f t="shared" si="3"/>
        <v>0</v>
      </c>
    </row>
    <row r="94" spans="1:7" x14ac:dyDescent="0.2">
      <c r="A94" t="s">
        <v>278</v>
      </c>
      <c r="B94" t="s">
        <v>102</v>
      </c>
      <c r="C94" t="s">
        <v>151</v>
      </c>
      <c r="D94" t="s">
        <v>128</v>
      </c>
      <c r="E94">
        <v>1</v>
      </c>
      <c r="F94">
        <v>1</v>
      </c>
      <c r="G94">
        <f t="shared" si="3"/>
        <v>0</v>
      </c>
    </row>
    <row r="95" spans="1:7" x14ac:dyDescent="0.2">
      <c r="A95" t="s">
        <v>115</v>
      </c>
      <c r="B95" t="s">
        <v>109</v>
      </c>
      <c r="C95" t="s">
        <v>127</v>
      </c>
      <c r="D95" t="s">
        <v>252</v>
      </c>
      <c r="E95">
        <v>1</v>
      </c>
      <c r="F95">
        <v>0</v>
      </c>
      <c r="G95">
        <f t="shared" si="3"/>
        <v>95</v>
      </c>
    </row>
    <row r="96" spans="1:7" x14ac:dyDescent="0.2">
      <c r="A96" t="s">
        <v>118</v>
      </c>
      <c r="B96" t="s">
        <v>130</v>
      </c>
      <c r="C96" t="s">
        <v>180</v>
      </c>
      <c r="D96" t="s">
        <v>225</v>
      </c>
      <c r="E96">
        <v>1</v>
      </c>
      <c r="F96">
        <v>1</v>
      </c>
      <c r="G96">
        <f t="shared" si="3"/>
        <v>0</v>
      </c>
    </row>
    <row r="97" spans="1:7" x14ac:dyDescent="0.2">
      <c r="A97" t="s">
        <v>169</v>
      </c>
      <c r="B97" t="s">
        <v>129</v>
      </c>
      <c r="C97" t="s">
        <v>180</v>
      </c>
      <c r="D97" t="s">
        <v>128</v>
      </c>
      <c r="E97">
        <v>1</v>
      </c>
      <c r="F97">
        <v>1</v>
      </c>
      <c r="G97">
        <f t="shared" si="3"/>
        <v>0</v>
      </c>
    </row>
    <row r="98" spans="1:7" x14ac:dyDescent="0.2">
      <c r="A98" t="s">
        <v>169</v>
      </c>
      <c r="B98" t="s">
        <v>119</v>
      </c>
      <c r="C98" t="s">
        <v>180</v>
      </c>
      <c r="D98" t="s">
        <v>225</v>
      </c>
      <c r="E98">
        <v>1</v>
      </c>
      <c r="F98">
        <v>1</v>
      </c>
      <c r="G98">
        <f t="shared" si="3"/>
        <v>0</v>
      </c>
    </row>
    <row r="99" spans="1:7" x14ac:dyDescent="0.2">
      <c r="A99" t="s">
        <v>135</v>
      </c>
      <c r="B99" t="s">
        <v>119</v>
      </c>
      <c r="C99" t="s">
        <v>281</v>
      </c>
      <c r="D99" t="s">
        <v>225</v>
      </c>
      <c r="E99">
        <v>1</v>
      </c>
      <c r="F99">
        <v>0</v>
      </c>
      <c r="G99">
        <f t="shared" si="3"/>
        <v>99</v>
      </c>
    </row>
    <row r="100" spans="1:7" x14ac:dyDescent="0.2">
      <c r="A100" t="s">
        <v>143</v>
      </c>
      <c r="B100" t="s">
        <v>89</v>
      </c>
      <c r="C100" t="s">
        <v>129</v>
      </c>
      <c r="D100" t="s">
        <v>181</v>
      </c>
      <c r="E100">
        <v>1</v>
      </c>
      <c r="F100">
        <v>1</v>
      </c>
      <c r="G100">
        <f t="shared" si="3"/>
        <v>0</v>
      </c>
    </row>
    <row r="101" spans="1:7" x14ac:dyDescent="0.2">
      <c r="A101" t="s">
        <v>169</v>
      </c>
      <c r="B101" t="s">
        <v>78</v>
      </c>
      <c r="C101" t="s">
        <v>283</v>
      </c>
      <c r="D101" t="s">
        <v>225</v>
      </c>
      <c r="E101">
        <v>1</v>
      </c>
      <c r="F101">
        <v>1</v>
      </c>
      <c r="G101">
        <f t="shared" si="3"/>
        <v>0</v>
      </c>
    </row>
    <row r="102" spans="1:7" x14ac:dyDescent="0.2">
      <c r="A102" t="s">
        <v>208</v>
      </c>
      <c r="B102" t="s">
        <v>127</v>
      </c>
      <c r="C102" t="s">
        <v>213</v>
      </c>
      <c r="D102" t="s">
        <v>89</v>
      </c>
      <c r="E102">
        <v>2</v>
      </c>
      <c r="F102">
        <v>1</v>
      </c>
      <c r="G102">
        <f t="shared" si="3"/>
        <v>0</v>
      </c>
    </row>
    <row r="103" spans="1:7" x14ac:dyDescent="0.2">
      <c r="A103" t="s">
        <v>278</v>
      </c>
      <c r="B103" t="s">
        <v>130</v>
      </c>
      <c r="C103" t="s">
        <v>143</v>
      </c>
      <c r="D103" t="s">
        <v>165</v>
      </c>
      <c r="E103">
        <v>2</v>
      </c>
      <c r="F103">
        <v>1</v>
      </c>
      <c r="G103">
        <f t="shared" si="3"/>
        <v>0</v>
      </c>
    </row>
    <row r="104" spans="1:7" x14ac:dyDescent="0.2">
      <c r="A104" t="s">
        <v>287</v>
      </c>
      <c r="B104" t="s">
        <v>129</v>
      </c>
      <c r="C104" t="s">
        <v>310</v>
      </c>
      <c r="D104" t="s">
        <v>146</v>
      </c>
      <c r="E104">
        <v>2</v>
      </c>
      <c r="F104">
        <v>1</v>
      </c>
      <c r="G104">
        <f t="shared" si="3"/>
        <v>0</v>
      </c>
    </row>
    <row r="105" spans="1:7" x14ac:dyDescent="0.2">
      <c r="A105" t="s">
        <v>208</v>
      </c>
      <c r="B105" t="s">
        <v>119</v>
      </c>
      <c r="C105" t="s">
        <v>118</v>
      </c>
      <c r="D105" t="s">
        <v>177</v>
      </c>
      <c r="E105">
        <v>2</v>
      </c>
      <c r="F105">
        <v>1</v>
      </c>
      <c r="G105">
        <f t="shared" si="3"/>
        <v>0</v>
      </c>
    </row>
    <row r="106" spans="1:7" x14ac:dyDescent="0.2">
      <c r="A106" t="s">
        <v>309</v>
      </c>
      <c r="B106" t="s">
        <v>129</v>
      </c>
      <c r="C106" t="s">
        <v>278</v>
      </c>
      <c r="D106" t="s">
        <v>114</v>
      </c>
      <c r="E106">
        <v>2</v>
      </c>
      <c r="F106">
        <v>0</v>
      </c>
      <c r="G106">
        <f t="shared" si="3"/>
        <v>106</v>
      </c>
    </row>
    <row r="107" spans="1:7" x14ac:dyDescent="0.2">
      <c r="A107" t="s">
        <v>293</v>
      </c>
      <c r="B107" t="s">
        <v>129</v>
      </c>
      <c r="C107" t="s">
        <v>139</v>
      </c>
      <c r="D107" t="s">
        <v>146</v>
      </c>
      <c r="E107">
        <v>2</v>
      </c>
      <c r="F107">
        <v>1</v>
      </c>
      <c r="G107">
        <f t="shared" si="3"/>
        <v>0</v>
      </c>
    </row>
    <row r="108" spans="1:7" x14ac:dyDescent="0.2">
      <c r="A108" t="s">
        <v>200</v>
      </c>
      <c r="B108" t="s">
        <v>89</v>
      </c>
      <c r="C108" t="s">
        <v>148</v>
      </c>
      <c r="D108" t="s">
        <v>194</v>
      </c>
      <c r="E108">
        <v>2</v>
      </c>
      <c r="F108">
        <v>0</v>
      </c>
      <c r="G108">
        <f t="shared" si="3"/>
        <v>108</v>
      </c>
    </row>
    <row r="109" spans="1:7" x14ac:dyDescent="0.2">
      <c r="A109" t="s">
        <v>131</v>
      </c>
      <c r="B109" t="s">
        <v>119</v>
      </c>
      <c r="C109" t="s">
        <v>208</v>
      </c>
      <c r="D109" t="s">
        <v>177</v>
      </c>
      <c r="E109">
        <v>2</v>
      </c>
      <c r="F109">
        <v>0</v>
      </c>
      <c r="G109">
        <f t="shared" si="3"/>
        <v>109</v>
      </c>
    </row>
    <row r="110" spans="1:7" x14ac:dyDescent="0.2">
      <c r="A110" t="s">
        <v>311</v>
      </c>
      <c r="B110" t="s">
        <v>89</v>
      </c>
      <c r="C110" t="s">
        <v>278</v>
      </c>
      <c r="D110" t="s">
        <v>177</v>
      </c>
      <c r="E110">
        <v>2</v>
      </c>
      <c r="F110">
        <v>0</v>
      </c>
      <c r="G110">
        <f t="shared" si="3"/>
        <v>110</v>
      </c>
    </row>
    <row r="111" spans="1:7" x14ac:dyDescent="0.2">
      <c r="A111" t="s">
        <v>207</v>
      </c>
      <c r="B111" t="s">
        <v>256</v>
      </c>
      <c r="C111" t="s">
        <v>202</v>
      </c>
      <c r="D111" t="s">
        <v>89</v>
      </c>
      <c r="E111">
        <v>2</v>
      </c>
      <c r="F111">
        <v>1</v>
      </c>
      <c r="G111">
        <f t="shared" si="3"/>
        <v>0</v>
      </c>
    </row>
    <row r="112" spans="1:7" x14ac:dyDescent="0.2">
      <c r="A112" t="s">
        <v>309</v>
      </c>
      <c r="B112" t="s">
        <v>156</v>
      </c>
      <c r="C112" t="s">
        <v>143</v>
      </c>
      <c r="D112" t="s">
        <v>224</v>
      </c>
      <c r="E112">
        <v>2</v>
      </c>
      <c r="F112">
        <v>1</v>
      </c>
      <c r="G112">
        <f t="shared" si="3"/>
        <v>0</v>
      </c>
    </row>
    <row r="113" spans="1:7" x14ac:dyDescent="0.2">
      <c r="A113" t="s">
        <v>308</v>
      </c>
      <c r="B113" t="s">
        <v>130</v>
      </c>
      <c r="C113" t="s">
        <v>222</v>
      </c>
      <c r="D113" t="s">
        <v>165</v>
      </c>
      <c r="E113">
        <v>2</v>
      </c>
      <c r="F113">
        <v>0</v>
      </c>
      <c r="G113">
        <f t="shared" si="3"/>
        <v>113</v>
      </c>
    </row>
    <row r="114" spans="1:7" x14ac:dyDescent="0.2">
      <c r="A114" t="s">
        <v>215</v>
      </c>
      <c r="B114" t="s">
        <v>129</v>
      </c>
      <c r="C114" t="s">
        <v>299</v>
      </c>
      <c r="D114" t="s">
        <v>146</v>
      </c>
      <c r="E114">
        <v>2</v>
      </c>
      <c r="F114">
        <v>1</v>
      </c>
      <c r="G114">
        <f t="shared" si="3"/>
        <v>0</v>
      </c>
    </row>
    <row r="115" spans="1:7" x14ac:dyDescent="0.2">
      <c r="A115" t="s">
        <v>169</v>
      </c>
      <c r="B115" t="s">
        <v>89</v>
      </c>
      <c r="C115" t="s">
        <v>115</v>
      </c>
      <c r="D115" t="s">
        <v>224</v>
      </c>
      <c r="E115">
        <v>2</v>
      </c>
      <c r="F115">
        <v>1</v>
      </c>
      <c r="G115">
        <f t="shared" si="3"/>
        <v>0</v>
      </c>
    </row>
    <row r="116" spans="1:7" x14ac:dyDescent="0.2">
      <c r="A116" t="s">
        <v>278</v>
      </c>
      <c r="B116" t="s">
        <v>78</v>
      </c>
      <c r="C116" t="s">
        <v>143</v>
      </c>
      <c r="D116" t="s">
        <v>163</v>
      </c>
      <c r="E116">
        <v>2</v>
      </c>
      <c r="F116">
        <v>1</v>
      </c>
      <c r="G116">
        <f t="shared" si="3"/>
        <v>0</v>
      </c>
    </row>
    <row r="117" spans="1:7" x14ac:dyDescent="0.2">
      <c r="A117" t="s">
        <v>308</v>
      </c>
      <c r="B117" t="s">
        <v>156</v>
      </c>
      <c r="C117" t="s">
        <v>222</v>
      </c>
      <c r="D117" t="s">
        <v>109</v>
      </c>
      <c r="E117">
        <v>2</v>
      </c>
      <c r="F117">
        <v>1</v>
      </c>
      <c r="G117">
        <f t="shared" si="3"/>
        <v>0</v>
      </c>
    </row>
    <row r="118" spans="1:7" x14ac:dyDescent="0.2">
      <c r="A118" t="s">
        <v>309</v>
      </c>
      <c r="B118" t="s">
        <v>129</v>
      </c>
      <c r="C118" t="s">
        <v>299</v>
      </c>
      <c r="D118" t="s">
        <v>177</v>
      </c>
      <c r="E118">
        <v>2</v>
      </c>
      <c r="F118">
        <v>0</v>
      </c>
      <c r="G118">
        <f t="shared" si="3"/>
        <v>118</v>
      </c>
    </row>
    <row r="119" spans="1:7" x14ac:dyDescent="0.2">
      <c r="A119" t="s">
        <v>300</v>
      </c>
      <c r="B119" t="s">
        <v>147</v>
      </c>
      <c r="C119" t="s">
        <v>311</v>
      </c>
      <c r="D119" t="s">
        <v>114</v>
      </c>
      <c r="E119">
        <v>2</v>
      </c>
      <c r="F119">
        <v>1</v>
      </c>
      <c r="G119">
        <f t="shared" si="3"/>
        <v>0</v>
      </c>
    </row>
    <row r="120" spans="1:7" x14ac:dyDescent="0.2">
      <c r="A120" t="s">
        <v>300</v>
      </c>
      <c r="B120" t="s">
        <v>102</v>
      </c>
      <c r="C120" t="s">
        <v>172</v>
      </c>
      <c r="D120" t="s">
        <v>109</v>
      </c>
      <c r="E120">
        <v>2</v>
      </c>
      <c r="F120">
        <v>1</v>
      </c>
      <c r="G120">
        <f t="shared" si="3"/>
        <v>0</v>
      </c>
    </row>
    <row r="121" spans="1:7" x14ac:dyDescent="0.2">
      <c r="A121" t="s">
        <v>213</v>
      </c>
      <c r="B121" t="s">
        <v>114</v>
      </c>
      <c r="C121" t="s">
        <v>115</v>
      </c>
      <c r="D121" t="s">
        <v>168</v>
      </c>
      <c r="E121">
        <v>2</v>
      </c>
      <c r="F121">
        <v>1</v>
      </c>
      <c r="G121">
        <f t="shared" si="3"/>
        <v>0</v>
      </c>
    </row>
    <row r="122" spans="1:7" x14ac:dyDescent="0.2">
      <c r="A122" t="s">
        <v>172</v>
      </c>
      <c r="B122" t="s">
        <v>156</v>
      </c>
      <c r="C122" t="s">
        <v>169</v>
      </c>
      <c r="D122" t="s">
        <v>109</v>
      </c>
      <c r="E122">
        <v>2</v>
      </c>
      <c r="F122">
        <v>1</v>
      </c>
      <c r="G122">
        <f t="shared" si="3"/>
        <v>0</v>
      </c>
    </row>
    <row r="123" spans="1:7" x14ac:dyDescent="0.2">
      <c r="A123" t="s">
        <v>118</v>
      </c>
      <c r="B123" t="s">
        <v>78</v>
      </c>
      <c r="C123" t="s">
        <v>200</v>
      </c>
      <c r="D123" t="s">
        <v>224</v>
      </c>
      <c r="E123">
        <v>2</v>
      </c>
      <c r="F123">
        <v>1</v>
      </c>
      <c r="G123">
        <f t="shared" si="3"/>
        <v>0</v>
      </c>
    </row>
    <row r="124" spans="1:7" x14ac:dyDescent="0.2">
      <c r="A124" t="s">
        <v>300</v>
      </c>
      <c r="B124" t="s">
        <v>78</v>
      </c>
      <c r="C124" t="s">
        <v>311</v>
      </c>
      <c r="D124" t="s">
        <v>224</v>
      </c>
      <c r="E124">
        <v>2</v>
      </c>
      <c r="F124">
        <v>1</v>
      </c>
      <c r="G124">
        <f t="shared" si="3"/>
        <v>0</v>
      </c>
    </row>
    <row r="125" spans="1:7" x14ac:dyDescent="0.2">
      <c r="A125" t="s">
        <v>208</v>
      </c>
      <c r="B125" t="s">
        <v>130</v>
      </c>
      <c r="C125" t="s">
        <v>200</v>
      </c>
      <c r="D125" t="s">
        <v>177</v>
      </c>
      <c r="E125">
        <v>2</v>
      </c>
      <c r="F125">
        <v>1</v>
      </c>
      <c r="G125">
        <f t="shared" si="3"/>
        <v>0</v>
      </c>
    </row>
    <row r="126" spans="1:7" x14ac:dyDescent="0.2">
      <c r="A126" t="s">
        <v>311</v>
      </c>
      <c r="B126" t="s">
        <v>127</v>
      </c>
      <c r="C126" t="s">
        <v>169</v>
      </c>
      <c r="D126" t="s">
        <v>146</v>
      </c>
      <c r="E126">
        <v>2</v>
      </c>
      <c r="F126">
        <v>1</v>
      </c>
      <c r="G126">
        <f t="shared" si="3"/>
        <v>0</v>
      </c>
    </row>
    <row r="127" spans="1:7" x14ac:dyDescent="0.2">
      <c r="A127" t="s">
        <v>207</v>
      </c>
      <c r="B127" t="s">
        <v>156</v>
      </c>
      <c r="C127" t="s">
        <v>213</v>
      </c>
      <c r="D127" t="s">
        <v>177</v>
      </c>
      <c r="E127">
        <v>2</v>
      </c>
      <c r="F127">
        <v>1</v>
      </c>
      <c r="G127">
        <f t="shared" si="3"/>
        <v>0</v>
      </c>
    </row>
    <row r="128" spans="1:7" x14ac:dyDescent="0.2">
      <c r="A128" t="s">
        <v>135</v>
      </c>
      <c r="B128" t="s">
        <v>78</v>
      </c>
      <c r="C128" t="s">
        <v>158</v>
      </c>
      <c r="D128" t="s">
        <v>177</v>
      </c>
      <c r="E128">
        <v>2</v>
      </c>
      <c r="F128">
        <v>1</v>
      </c>
      <c r="G128">
        <f t="shared" si="3"/>
        <v>0</v>
      </c>
    </row>
    <row r="129" spans="1:7" x14ac:dyDescent="0.2">
      <c r="A129" t="s">
        <v>202</v>
      </c>
      <c r="B129" t="s">
        <v>129</v>
      </c>
      <c r="C129" t="s">
        <v>200</v>
      </c>
      <c r="D129" t="s">
        <v>177</v>
      </c>
      <c r="E129">
        <v>2</v>
      </c>
      <c r="F129">
        <v>0</v>
      </c>
      <c r="G129">
        <f t="shared" si="3"/>
        <v>129</v>
      </c>
    </row>
    <row r="130" spans="1:7" x14ac:dyDescent="0.2">
      <c r="A130" t="s">
        <v>308</v>
      </c>
      <c r="B130" t="s">
        <v>78</v>
      </c>
      <c r="C130" t="s">
        <v>118</v>
      </c>
      <c r="D130" t="s">
        <v>146</v>
      </c>
      <c r="E130">
        <v>2</v>
      </c>
      <c r="F130">
        <v>1</v>
      </c>
      <c r="G130">
        <f t="shared" si="3"/>
        <v>0</v>
      </c>
    </row>
    <row r="131" spans="1:7" x14ac:dyDescent="0.2">
      <c r="A131" t="s">
        <v>207</v>
      </c>
      <c r="B131" t="s">
        <v>129</v>
      </c>
      <c r="C131" t="s">
        <v>278</v>
      </c>
      <c r="D131" t="s">
        <v>152</v>
      </c>
      <c r="E131">
        <v>2</v>
      </c>
      <c r="F131">
        <v>1</v>
      </c>
      <c r="G131">
        <f t="shared" ref="G131:G151" si="4">IF(F131&lt;=0,ROW(),0)</f>
        <v>0</v>
      </c>
    </row>
    <row r="132" spans="1:7" x14ac:dyDescent="0.2">
      <c r="A132" t="s">
        <v>312</v>
      </c>
      <c r="B132" t="s">
        <v>78</v>
      </c>
      <c r="C132" t="s">
        <v>202</v>
      </c>
      <c r="D132" t="s">
        <v>165</v>
      </c>
      <c r="E132">
        <v>2</v>
      </c>
      <c r="F132">
        <v>1</v>
      </c>
      <c r="G132">
        <f t="shared" si="4"/>
        <v>0</v>
      </c>
    </row>
    <row r="133" spans="1:7" x14ac:dyDescent="0.2">
      <c r="A133" t="s">
        <v>294</v>
      </c>
      <c r="B133" t="s">
        <v>147</v>
      </c>
      <c r="C133" t="s">
        <v>308</v>
      </c>
      <c r="D133" t="s">
        <v>224</v>
      </c>
      <c r="E133">
        <v>2</v>
      </c>
      <c r="F133">
        <v>1</v>
      </c>
      <c r="G133">
        <f t="shared" si="4"/>
        <v>0</v>
      </c>
    </row>
    <row r="134" spans="1:7" x14ac:dyDescent="0.2">
      <c r="A134" t="s">
        <v>308</v>
      </c>
      <c r="B134" t="s">
        <v>78</v>
      </c>
      <c r="C134" t="s">
        <v>118</v>
      </c>
      <c r="D134" t="s">
        <v>114</v>
      </c>
      <c r="E134">
        <v>2</v>
      </c>
      <c r="F134">
        <v>0</v>
      </c>
      <c r="G134">
        <f t="shared" si="4"/>
        <v>134</v>
      </c>
    </row>
    <row r="135" spans="1:7" x14ac:dyDescent="0.2">
      <c r="A135" t="s">
        <v>208</v>
      </c>
      <c r="B135" t="s">
        <v>78</v>
      </c>
      <c r="C135" t="s">
        <v>143</v>
      </c>
      <c r="D135" t="s">
        <v>168</v>
      </c>
      <c r="E135">
        <v>2</v>
      </c>
      <c r="F135">
        <v>0</v>
      </c>
      <c r="G135">
        <f t="shared" si="4"/>
        <v>135</v>
      </c>
    </row>
    <row r="136" spans="1:7" x14ac:dyDescent="0.2">
      <c r="A136" t="s">
        <v>202</v>
      </c>
      <c r="B136" t="s">
        <v>102</v>
      </c>
      <c r="C136" t="s">
        <v>118</v>
      </c>
      <c r="D136" t="s">
        <v>243</v>
      </c>
      <c r="E136">
        <v>2</v>
      </c>
      <c r="F136">
        <v>0</v>
      </c>
      <c r="G136">
        <f t="shared" si="4"/>
        <v>136</v>
      </c>
    </row>
    <row r="137" spans="1:7" x14ac:dyDescent="0.2">
      <c r="A137" t="s">
        <v>300</v>
      </c>
      <c r="B137" t="s">
        <v>129</v>
      </c>
      <c r="C137" t="s">
        <v>202</v>
      </c>
      <c r="D137" t="s">
        <v>109</v>
      </c>
      <c r="E137">
        <v>2</v>
      </c>
      <c r="F137">
        <v>1</v>
      </c>
      <c r="G137">
        <f t="shared" si="4"/>
        <v>0</v>
      </c>
    </row>
    <row r="138" spans="1:7" x14ac:dyDescent="0.2">
      <c r="A138" t="s">
        <v>208</v>
      </c>
      <c r="B138" t="s">
        <v>83</v>
      </c>
      <c r="C138" t="s">
        <v>118</v>
      </c>
      <c r="D138" t="s">
        <v>163</v>
      </c>
      <c r="E138">
        <v>2</v>
      </c>
      <c r="F138">
        <v>1</v>
      </c>
      <c r="G138">
        <f t="shared" si="4"/>
        <v>0</v>
      </c>
    </row>
    <row r="139" spans="1:7" x14ac:dyDescent="0.2">
      <c r="A139" t="s">
        <v>308</v>
      </c>
      <c r="B139" t="s">
        <v>121</v>
      </c>
      <c r="C139" t="s">
        <v>299</v>
      </c>
      <c r="D139" t="s">
        <v>177</v>
      </c>
      <c r="E139">
        <v>2</v>
      </c>
      <c r="F139">
        <v>1</v>
      </c>
      <c r="G139">
        <f t="shared" si="4"/>
        <v>0</v>
      </c>
    </row>
    <row r="140" spans="1:7" x14ac:dyDescent="0.2">
      <c r="A140" t="s">
        <v>213</v>
      </c>
      <c r="B140" t="s">
        <v>129</v>
      </c>
      <c r="C140" t="s">
        <v>158</v>
      </c>
      <c r="D140" t="s">
        <v>177</v>
      </c>
      <c r="E140">
        <v>2</v>
      </c>
      <c r="F140">
        <v>0</v>
      </c>
      <c r="G140">
        <f t="shared" si="4"/>
        <v>140</v>
      </c>
    </row>
    <row r="141" spans="1:7" x14ac:dyDescent="0.2">
      <c r="A141" t="s">
        <v>172</v>
      </c>
      <c r="B141" t="s">
        <v>121</v>
      </c>
      <c r="C141" t="s">
        <v>123</v>
      </c>
      <c r="D141" t="s">
        <v>146</v>
      </c>
      <c r="E141">
        <v>2</v>
      </c>
      <c r="F141">
        <v>1</v>
      </c>
      <c r="G141">
        <f t="shared" si="4"/>
        <v>0</v>
      </c>
    </row>
    <row r="142" spans="1:7" x14ac:dyDescent="0.2">
      <c r="A142" t="s">
        <v>311</v>
      </c>
      <c r="B142" t="s">
        <v>121</v>
      </c>
      <c r="C142" t="s">
        <v>118</v>
      </c>
      <c r="D142" t="s">
        <v>163</v>
      </c>
      <c r="E142">
        <v>2</v>
      </c>
      <c r="F142">
        <v>0</v>
      </c>
      <c r="G142">
        <f t="shared" si="4"/>
        <v>142</v>
      </c>
    </row>
    <row r="143" spans="1:7" x14ac:dyDescent="0.2">
      <c r="A143" t="s">
        <v>172</v>
      </c>
      <c r="B143" t="s">
        <v>121</v>
      </c>
      <c r="C143" t="s">
        <v>143</v>
      </c>
      <c r="D143" t="s">
        <v>109</v>
      </c>
      <c r="E143">
        <v>2</v>
      </c>
      <c r="F143">
        <v>0</v>
      </c>
      <c r="G143">
        <f t="shared" si="4"/>
        <v>143</v>
      </c>
    </row>
    <row r="144" spans="1:7" x14ac:dyDescent="0.2">
      <c r="A144" t="s">
        <v>278</v>
      </c>
      <c r="B144" t="s">
        <v>130</v>
      </c>
      <c r="C144" t="s">
        <v>143</v>
      </c>
      <c r="D144" t="s">
        <v>165</v>
      </c>
      <c r="E144">
        <v>2</v>
      </c>
      <c r="F144">
        <v>1</v>
      </c>
      <c r="G144">
        <f t="shared" si="4"/>
        <v>0</v>
      </c>
    </row>
    <row r="145" spans="1:7" x14ac:dyDescent="0.2">
      <c r="A145" t="s">
        <v>215</v>
      </c>
      <c r="B145" t="s">
        <v>156</v>
      </c>
      <c r="C145" t="s">
        <v>310</v>
      </c>
      <c r="D145" t="s">
        <v>109</v>
      </c>
      <c r="E145">
        <v>2</v>
      </c>
      <c r="F145">
        <v>1</v>
      </c>
      <c r="G145">
        <f t="shared" si="4"/>
        <v>0</v>
      </c>
    </row>
    <row r="146" spans="1:7" x14ac:dyDescent="0.2">
      <c r="A146" t="s">
        <v>311</v>
      </c>
      <c r="B146" t="s">
        <v>127</v>
      </c>
      <c r="C146" t="s">
        <v>169</v>
      </c>
      <c r="D146" t="s">
        <v>89</v>
      </c>
      <c r="E146">
        <v>2</v>
      </c>
      <c r="F146">
        <v>1</v>
      </c>
      <c r="G146">
        <f t="shared" si="4"/>
        <v>0</v>
      </c>
    </row>
    <row r="147" spans="1:7" x14ac:dyDescent="0.2">
      <c r="A147" t="s">
        <v>311</v>
      </c>
      <c r="B147" t="s">
        <v>129</v>
      </c>
      <c r="C147" t="s">
        <v>105</v>
      </c>
      <c r="D147" t="s">
        <v>109</v>
      </c>
      <c r="E147">
        <v>2</v>
      </c>
      <c r="F147">
        <v>1</v>
      </c>
      <c r="G147">
        <f t="shared" si="4"/>
        <v>0</v>
      </c>
    </row>
    <row r="148" spans="1:7" x14ac:dyDescent="0.2">
      <c r="A148" t="s">
        <v>208</v>
      </c>
      <c r="B148" t="s">
        <v>89</v>
      </c>
      <c r="C148" t="s">
        <v>115</v>
      </c>
      <c r="D148" t="s">
        <v>165</v>
      </c>
      <c r="E148">
        <v>2</v>
      </c>
      <c r="F148">
        <v>1</v>
      </c>
      <c r="G148">
        <f t="shared" si="4"/>
        <v>0</v>
      </c>
    </row>
    <row r="149" spans="1:7" x14ac:dyDescent="0.2">
      <c r="A149" t="s">
        <v>309</v>
      </c>
      <c r="B149" t="s">
        <v>129</v>
      </c>
      <c r="C149" t="s">
        <v>105</v>
      </c>
      <c r="D149" t="s">
        <v>224</v>
      </c>
      <c r="E149">
        <v>2</v>
      </c>
      <c r="F149">
        <v>0</v>
      </c>
      <c r="G149">
        <f t="shared" si="4"/>
        <v>149</v>
      </c>
    </row>
    <row r="150" spans="1:7" x14ac:dyDescent="0.2">
      <c r="A150" t="s">
        <v>135</v>
      </c>
      <c r="B150" t="s">
        <v>83</v>
      </c>
      <c r="C150" t="s">
        <v>123</v>
      </c>
      <c r="D150" t="s">
        <v>109</v>
      </c>
      <c r="E150">
        <v>2</v>
      </c>
      <c r="F150">
        <v>0</v>
      </c>
      <c r="G150">
        <f t="shared" si="4"/>
        <v>150</v>
      </c>
    </row>
    <row r="151" spans="1:7" x14ac:dyDescent="0.2">
      <c r="A151" t="s">
        <v>310</v>
      </c>
      <c r="B151" t="s">
        <v>129</v>
      </c>
      <c r="C151" t="s">
        <v>143</v>
      </c>
      <c r="D151" t="s">
        <v>177</v>
      </c>
      <c r="E151">
        <v>2</v>
      </c>
      <c r="F151">
        <v>1</v>
      </c>
      <c r="G151">
        <f t="shared" si="4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7256-BCE0-9E42-9951-8D73DF3BC26A}">
  <dimension ref="A1:J56"/>
  <sheetViews>
    <sheetView workbookViewId="0">
      <selection activeCell="H3" sqref="H3"/>
    </sheetView>
  </sheetViews>
  <sheetFormatPr baseColWidth="10" defaultRowHeight="16" x14ac:dyDescent="0.2"/>
  <sheetData>
    <row r="1" spans="1:10" x14ac:dyDescent="0.2">
      <c r="A1" t="s">
        <v>387</v>
      </c>
      <c r="B1" t="s">
        <v>388</v>
      </c>
      <c r="C1" t="s">
        <v>389</v>
      </c>
    </row>
    <row r="2" spans="1:10" x14ac:dyDescent="0.2">
      <c r="A2">
        <v>1981</v>
      </c>
      <c r="B2">
        <v>1981</v>
      </c>
      <c r="C2" t="s">
        <v>390</v>
      </c>
      <c r="E2" s="3" t="str" cm="1">
        <f t="array" ref="E2:G11">_xldudf_TECHTO_RESERVING(A1:C56,"mack")</f>
        <v>origin</v>
      </c>
      <c r="F2" t="str">
        <v>IBNR</v>
      </c>
      <c r="G2" t="str">
        <v>IBNR 95</v>
      </c>
      <c r="H2" s="3" t="str" cm="1">
        <f t="array" ref="H2:J11">_xldudf_TECHTO_MLRESERVING(A1:C56,"Lasso")</f>
        <v>origin</v>
      </c>
      <c r="I2" t="str">
        <v>IBNR</v>
      </c>
      <c r="J2" t="str">
        <v>IBNR 95</v>
      </c>
    </row>
    <row r="3" spans="1:10" x14ac:dyDescent="0.2">
      <c r="A3">
        <v>1982</v>
      </c>
      <c r="B3">
        <v>1982</v>
      </c>
      <c r="C3" t="s">
        <v>170</v>
      </c>
      <c r="E3">
        <v>1982</v>
      </c>
      <c r="F3">
        <v>153.95391705069051</v>
      </c>
      <c r="G3">
        <v>434.10008086344141</v>
      </c>
      <c r="H3">
        <v>1982</v>
      </c>
      <c r="I3">
        <v>661.59943798562699</v>
      </c>
      <c r="J3">
        <v>5693.3786489916365</v>
      </c>
    </row>
    <row r="4" spans="1:10" x14ac:dyDescent="0.2">
      <c r="A4">
        <v>1983</v>
      </c>
      <c r="B4">
        <v>1983</v>
      </c>
      <c r="C4" t="s">
        <v>391</v>
      </c>
      <c r="E4">
        <v>1983</v>
      </c>
      <c r="F4">
        <v>617.37092381492039</v>
      </c>
      <c r="G4">
        <v>1777.9816003383378</v>
      </c>
      <c r="H4">
        <v>1983</v>
      </c>
      <c r="I4">
        <v>1272.5427536073826</v>
      </c>
      <c r="J4">
        <v>10951.419162119297</v>
      </c>
    </row>
    <row r="5" spans="1:10" x14ac:dyDescent="0.2">
      <c r="A5">
        <v>1984</v>
      </c>
      <c r="B5">
        <v>1984</v>
      </c>
      <c r="C5" t="s">
        <v>392</v>
      </c>
      <c r="E5">
        <v>1984</v>
      </c>
      <c r="F5">
        <v>1636.1421634209</v>
      </c>
      <c r="G5">
        <v>3033.3358485503509</v>
      </c>
      <c r="H5">
        <v>1984</v>
      </c>
      <c r="I5">
        <v>1836.7251869906845</v>
      </c>
      <c r="J5">
        <v>15807.597230570793</v>
      </c>
    </row>
    <row r="6" spans="1:10" x14ac:dyDescent="0.2">
      <c r="A6">
        <v>1985</v>
      </c>
      <c r="B6">
        <v>1985</v>
      </c>
      <c r="C6" t="s">
        <v>393</v>
      </c>
      <c r="E6">
        <v>1985</v>
      </c>
      <c r="F6">
        <v>2746.7363434222134</v>
      </c>
      <c r="G6">
        <v>5592.8333898186411</v>
      </c>
      <c r="H6">
        <v>1985</v>
      </c>
      <c r="I6">
        <v>2357.7407170891083</v>
      </c>
      <c r="J6">
        <v>20292.799510673576</v>
      </c>
    </row>
    <row r="7" spans="1:10" x14ac:dyDescent="0.2">
      <c r="A7">
        <v>1986</v>
      </c>
      <c r="B7">
        <v>1986</v>
      </c>
      <c r="C7" t="s">
        <v>394</v>
      </c>
      <c r="E7">
        <v>1986</v>
      </c>
      <c r="F7">
        <v>3649.103183996383</v>
      </c>
      <c r="G7">
        <v>7559.2792862609449</v>
      </c>
      <c r="H7">
        <v>1986</v>
      </c>
      <c r="I7">
        <v>2838.9054953155746</v>
      </c>
      <c r="J7">
        <v>24435.525012519596</v>
      </c>
    </row>
    <row r="8" spans="1:10" x14ac:dyDescent="0.2">
      <c r="A8">
        <v>1987</v>
      </c>
      <c r="B8">
        <v>1987</v>
      </c>
      <c r="C8" t="s">
        <v>395</v>
      </c>
      <c r="E8">
        <v>1987</v>
      </c>
      <c r="F8">
        <v>5435.3025902951813</v>
      </c>
      <c r="G8">
        <v>9754.8259902969185</v>
      </c>
      <c r="H8">
        <v>1987</v>
      </c>
      <c r="I8">
        <v>3283.2794459754964</v>
      </c>
      <c r="J8">
        <v>28262.070734109158</v>
      </c>
    </row>
    <row r="9" spans="1:10" x14ac:dyDescent="0.2">
      <c r="A9">
        <v>1988</v>
      </c>
      <c r="B9">
        <v>1988</v>
      </c>
      <c r="C9" t="s">
        <v>396</v>
      </c>
      <c r="E9">
        <v>1988</v>
      </c>
      <c r="F9">
        <v>10907.192509507351</v>
      </c>
      <c r="G9">
        <v>21401.699912618595</v>
      </c>
      <c r="H9">
        <v>1988</v>
      </c>
      <c r="I9">
        <v>3693.6861777242584</v>
      </c>
      <c r="J9">
        <v>31796.70278046099</v>
      </c>
    </row>
    <row r="10" spans="1:10" x14ac:dyDescent="0.2">
      <c r="A10">
        <v>1989</v>
      </c>
      <c r="B10">
        <v>1989</v>
      </c>
      <c r="C10" t="s">
        <v>397</v>
      </c>
      <c r="E10">
        <v>1989</v>
      </c>
      <c r="F10">
        <v>10649.98410070215</v>
      </c>
      <c r="G10">
        <v>23059.808467782634</v>
      </c>
      <c r="H10">
        <v>1989</v>
      </c>
      <c r="I10">
        <v>4072.731338861784</v>
      </c>
      <c r="J10">
        <v>35061.814109081373</v>
      </c>
    </row>
    <row r="11" spans="1:10" x14ac:dyDescent="0.2">
      <c r="A11">
        <v>1990</v>
      </c>
      <c r="B11">
        <v>1990</v>
      </c>
      <c r="C11" t="s">
        <v>398</v>
      </c>
      <c r="E11">
        <v>1990</v>
      </c>
      <c r="F11">
        <v>16339.44252900036</v>
      </c>
      <c r="G11">
        <v>64488.362918219849</v>
      </c>
      <c r="H11">
        <v>1990</v>
      </c>
      <c r="I11">
        <v>5139.2970238695825</v>
      </c>
      <c r="J11">
        <v>44243.069952921644</v>
      </c>
    </row>
    <row r="12" spans="1:10" x14ac:dyDescent="0.2">
      <c r="A12">
        <v>1982</v>
      </c>
      <c r="B12">
        <v>1981</v>
      </c>
      <c r="C12" t="s">
        <v>399</v>
      </c>
    </row>
    <row r="13" spans="1:10" x14ac:dyDescent="0.2">
      <c r="A13">
        <v>1983</v>
      </c>
      <c r="B13">
        <v>1982</v>
      </c>
      <c r="C13" t="s">
        <v>400</v>
      </c>
    </row>
    <row r="14" spans="1:10" x14ac:dyDescent="0.2">
      <c r="A14">
        <v>1984</v>
      </c>
      <c r="B14">
        <v>1983</v>
      </c>
      <c r="C14" t="s">
        <v>401</v>
      </c>
    </row>
    <row r="15" spans="1:10" x14ac:dyDescent="0.2">
      <c r="A15">
        <v>1985</v>
      </c>
      <c r="B15">
        <v>1984</v>
      </c>
      <c r="C15" t="s">
        <v>402</v>
      </c>
    </row>
    <row r="16" spans="1:10" x14ac:dyDescent="0.2">
      <c r="A16">
        <v>1986</v>
      </c>
      <c r="B16">
        <v>1985</v>
      </c>
      <c r="C16" t="s">
        <v>403</v>
      </c>
    </row>
    <row r="17" spans="1:3" x14ac:dyDescent="0.2">
      <c r="A17">
        <v>1987</v>
      </c>
      <c r="B17">
        <v>1986</v>
      </c>
      <c r="C17" t="s">
        <v>404</v>
      </c>
    </row>
    <row r="18" spans="1:3" x14ac:dyDescent="0.2">
      <c r="A18">
        <v>1988</v>
      </c>
      <c r="B18">
        <v>1987</v>
      </c>
      <c r="C18" t="s">
        <v>405</v>
      </c>
    </row>
    <row r="19" spans="1:3" x14ac:dyDescent="0.2">
      <c r="A19">
        <v>1989</v>
      </c>
      <c r="B19">
        <v>1988</v>
      </c>
      <c r="C19" t="s">
        <v>406</v>
      </c>
    </row>
    <row r="20" spans="1:3" x14ac:dyDescent="0.2">
      <c r="A20">
        <v>1990</v>
      </c>
      <c r="B20">
        <v>1989</v>
      </c>
      <c r="C20" t="s">
        <v>407</v>
      </c>
    </row>
    <row r="21" spans="1:3" x14ac:dyDescent="0.2">
      <c r="A21">
        <v>1983</v>
      </c>
      <c r="B21">
        <v>1981</v>
      </c>
      <c r="C21" t="s">
        <v>408</v>
      </c>
    </row>
    <row r="22" spans="1:3" x14ac:dyDescent="0.2">
      <c r="A22">
        <v>1984</v>
      </c>
      <c r="B22">
        <v>1982</v>
      </c>
      <c r="C22" t="s">
        <v>409</v>
      </c>
    </row>
    <row r="23" spans="1:3" x14ac:dyDescent="0.2">
      <c r="A23">
        <v>1985</v>
      </c>
      <c r="B23">
        <v>1983</v>
      </c>
      <c r="C23" t="s">
        <v>410</v>
      </c>
    </row>
    <row r="24" spans="1:3" x14ac:dyDescent="0.2">
      <c r="A24">
        <v>1986</v>
      </c>
      <c r="B24">
        <v>1984</v>
      </c>
      <c r="C24" t="s">
        <v>411</v>
      </c>
    </row>
    <row r="25" spans="1:3" x14ac:dyDescent="0.2">
      <c r="A25">
        <v>1987</v>
      </c>
      <c r="B25">
        <v>1985</v>
      </c>
      <c r="C25" t="s">
        <v>412</v>
      </c>
    </row>
    <row r="26" spans="1:3" x14ac:dyDescent="0.2">
      <c r="A26">
        <v>1988</v>
      </c>
      <c r="B26">
        <v>1986</v>
      </c>
      <c r="C26" t="s">
        <v>413</v>
      </c>
    </row>
    <row r="27" spans="1:3" x14ac:dyDescent="0.2">
      <c r="A27">
        <v>1989</v>
      </c>
      <c r="B27">
        <v>1987</v>
      </c>
      <c r="C27" t="s">
        <v>414</v>
      </c>
    </row>
    <row r="28" spans="1:3" x14ac:dyDescent="0.2">
      <c r="A28">
        <v>1990</v>
      </c>
      <c r="B28">
        <v>1988</v>
      </c>
      <c r="C28" t="s">
        <v>415</v>
      </c>
    </row>
    <row r="29" spans="1:3" x14ac:dyDescent="0.2">
      <c r="A29">
        <v>1984</v>
      </c>
      <c r="B29">
        <v>1981</v>
      </c>
      <c r="C29" t="s">
        <v>416</v>
      </c>
    </row>
    <row r="30" spans="1:3" x14ac:dyDescent="0.2">
      <c r="A30">
        <v>1985</v>
      </c>
      <c r="B30">
        <v>1982</v>
      </c>
      <c r="C30" t="s">
        <v>417</v>
      </c>
    </row>
    <row r="31" spans="1:3" x14ac:dyDescent="0.2">
      <c r="A31">
        <v>1986</v>
      </c>
      <c r="B31">
        <v>1983</v>
      </c>
      <c r="C31" t="s">
        <v>418</v>
      </c>
    </row>
    <row r="32" spans="1:3" x14ac:dyDescent="0.2">
      <c r="A32">
        <v>1987</v>
      </c>
      <c r="B32">
        <v>1984</v>
      </c>
      <c r="C32" t="s">
        <v>419</v>
      </c>
    </row>
    <row r="33" spans="1:3" x14ac:dyDescent="0.2">
      <c r="A33">
        <v>1988</v>
      </c>
      <c r="B33">
        <v>1985</v>
      </c>
      <c r="C33" t="s">
        <v>420</v>
      </c>
    </row>
    <row r="34" spans="1:3" x14ac:dyDescent="0.2">
      <c r="A34">
        <v>1989</v>
      </c>
      <c r="B34">
        <v>1986</v>
      </c>
      <c r="C34" t="s">
        <v>421</v>
      </c>
    </row>
    <row r="35" spans="1:3" x14ac:dyDescent="0.2">
      <c r="A35">
        <v>1990</v>
      </c>
      <c r="B35">
        <v>1987</v>
      </c>
      <c r="C35" t="s">
        <v>422</v>
      </c>
    </row>
    <row r="36" spans="1:3" x14ac:dyDescent="0.2">
      <c r="A36">
        <v>1985</v>
      </c>
      <c r="B36">
        <v>1981</v>
      </c>
      <c r="C36" t="s">
        <v>423</v>
      </c>
    </row>
    <row r="37" spans="1:3" x14ac:dyDescent="0.2">
      <c r="A37">
        <v>1986</v>
      </c>
      <c r="B37">
        <v>1982</v>
      </c>
      <c r="C37" t="s">
        <v>424</v>
      </c>
    </row>
    <row r="38" spans="1:3" x14ac:dyDescent="0.2">
      <c r="A38">
        <v>1987</v>
      </c>
      <c r="B38">
        <v>1983</v>
      </c>
      <c r="C38" t="s">
        <v>425</v>
      </c>
    </row>
    <row r="39" spans="1:3" x14ac:dyDescent="0.2">
      <c r="A39">
        <v>1988</v>
      </c>
      <c r="B39">
        <v>1984</v>
      </c>
      <c r="C39" t="s">
        <v>426</v>
      </c>
    </row>
    <row r="40" spans="1:3" x14ac:dyDescent="0.2">
      <c r="A40">
        <v>1989</v>
      </c>
      <c r="B40">
        <v>1985</v>
      </c>
      <c r="C40" t="s">
        <v>427</v>
      </c>
    </row>
    <row r="41" spans="1:3" x14ac:dyDescent="0.2">
      <c r="A41">
        <v>1990</v>
      </c>
      <c r="B41">
        <v>1986</v>
      </c>
      <c r="C41" t="s">
        <v>428</v>
      </c>
    </row>
    <row r="42" spans="1:3" x14ac:dyDescent="0.2">
      <c r="A42">
        <v>1986</v>
      </c>
      <c r="B42">
        <v>1981</v>
      </c>
      <c r="C42" t="s">
        <v>429</v>
      </c>
    </row>
    <row r="43" spans="1:3" x14ac:dyDescent="0.2">
      <c r="A43">
        <v>1987</v>
      </c>
      <c r="B43">
        <v>1982</v>
      </c>
      <c r="C43" t="s">
        <v>430</v>
      </c>
    </row>
    <row r="44" spans="1:3" x14ac:dyDescent="0.2">
      <c r="A44">
        <v>1988</v>
      </c>
      <c r="B44">
        <v>1983</v>
      </c>
      <c r="C44" t="s">
        <v>431</v>
      </c>
    </row>
    <row r="45" spans="1:3" x14ac:dyDescent="0.2">
      <c r="A45">
        <v>1989</v>
      </c>
      <c r="B45">
        <v>1984</v>
      </c>
      <c r="C45" t="s">
        <v>432</v>
      </c>
    </row>
    <row r="46" spans="1:3" x14ac:dyDescent="0.2">
      <c r="A46">
        <v>1990</v>
      </c>
      <c r="B46">
        <v>1985</v>
      </c>
      <c r="C46" t="s">
        <v>433</v>
      </c>
    </row>
    <row r="47" spans="1:3" x14ac:dyDescent="0.2">
      <c r="A47">
        <v>1987</v>
      </c>
      <c r="B47">
        <v>1981</v>
      </c>
      <c r="C47" t="s">
        <v>434</v>
      </c>
    </row>
    <row r="48" spans="1:3" x14ac:dyDescent="0.2">
      <c r="A48">
        <v>1988</v>
      </c>
      <c r="B48">
        <v>1982</v>
      </c>
      <c r="C48" t="s">
        <v>435</v>
      </c>
    </row>
    <row r="49" spans="1:3" x14ac:dyDescent="0.2">
      <c r="A49">
        <v>1989</v>
      </c>
      <c r="B49">
        <v>1983</v>
      </c>
      <c r="C49" t="s">
        <v>436</v>
      </c>
    </row>
    <row r="50" spans="1:3" x14ac:dyDescent="0.2">
      <c r="A50">
        <v>1990</v>
      </c>
      <c r="B50">
        <v>1984</v>
      </c>
      <c r="C50" t="s">
        <v>437</v>
      </c>
    </row>
    <row r="51" spans="1:3" x14ac:dyDescent="0.2">
      <c r="A51">
        <v>1988</v>
      </c>
      <c r="B51">
        <v>1981</v>
      </c>
      <c r="C51" t="s">
        <v>438</v>
      </c>
    </row>
    <row r="52" spans="1:3" x14ac:dyDescent="0.2">
      <c r="A52">
        <v>1989</v>
      </c>
      <c r="B52">
        <v>1982</v>
      </c>
      <c r="C52" t="s">
        <v>439</v>
      </c>
    </row>
    <row r="53" spans="1:3" x14ac:dyDescent="0.2">
      <c r="A53">
        <v>1990</v>
      </c>
      <c r="B53">
        <v>1983</v>
      </c>
      <c r="C53" t="s">
        <v>440</v>
      </c>
    </row>
    <row r="54" spans="1:3" x14ac:dyDescent="0.2">
      <c r="A54">
        <v>1989</v>
      </c>
      <c r="B54">
        <v>1981</v>
      </c>
      <c r="C54" t="s">
        <v>441</v>
      </c>
    </row>
    <row r="55" spans="1:3" x14ac:dyDescent="0.2">
      <c r="A55">
        <v>1990</v>
      </c>
      <c r="B55">
        <v>1982</v>
      </c>
      <c r="C55" t="s">
        <v>442</v>
      </c>
    </row>
    <row r="56" spans="1:3" x14ac:dyDescent="0.2">
      <c r="A56">
        <v>1990</v>
      </c>
      <c r="B56">
        <v>1981</v>
      </c>
      <c r="C56" t="s">
        <v>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scenario simulation</vt:lpstr>
      <vt:lpstr>survival</vt:lpstr>
      <vt:lpstr>univariate forecasting</vt:lpstr>
      <vt:lpstr>multivariate forecasting</vt:lpstr>
      <vt:lpstr>mlregression</vt:lpstr>
      <vt:lpstr>mlcassification</vt:lpstr>
      <vt:lpstr>reserving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 Moudiki</dc:creator>
  <cp:lastModifiedBy>T. Moudiki</cp:lastModifiedBy>
  <dcterms:created xsi:type="dcterms:W3CDTF">2025-06-25T06:33:32Z</dcterms:created>
  <dcterms:modified xsi:type="dcterms:W3CDTF">2026-05-12T06:37:33Z</dcterms:modified>
</cp:coreProperties>
</file>